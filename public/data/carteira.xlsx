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vglobocorp.sharepoint.com/sites/COESoluesdeMdias-Planejamento/Documentos Compartilhados/General/Nova Rede/0 - Colaboração/Fechamento Q2/"/>
    </mc:Choice>
  </mc:AlternateContent>
  <xr:revisionPtr revIDLastSave="0" documentId="8_{59F1CA2E-D5D8-4167-8905-87320745F90C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Orçamento" sheetId="3" r:id="rId1"/>
    <sheet name="Realizado" sheetId="1" r:id="rId2"/>
    <sheet name="Hierarquia" sheetId="2" r:id="rId3"/>
    <sheet name="Status Repor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6" l="1"/>
  <c r="E34" i="6"/>
  <c r="D34" i="6"/>
  <c r="G34" i="6" s="1"/>
  <c r="I34" i="6" s="1"/>
  <c r="C34" i="6"/>
  <c r="B34" i="6"/>
  <c r="H33" i="6"/>
  <c r="F33" i="6"/>
  <c r="E33" i="6"/>
  <c r="D33" i="6"/>
  <c r="G33" i="6" s="1"/>
  <c r="I33" i="6" s="1"/>
  <c r="C33" i="6"/>
  <c r="B33" i="6"/>
  <c r="H32" i="6"/>
  <c r="G32" i="6"/>
  <c r="I32" i="6" s="1"/>
  <c r="F32" i="6"/>
  <c r="E32" i="6"/>
  <c r="D32" i="6"/>
  <c r="C32" i="6"/>
  <c r="B32" i="6"/>
  <c r="H31" i="6"/>
  <c r="G31" i="6"/>
  <c r="I31" i="6" s="1"/>
  <c r="E31" i="6"/>
  <c r="D31" i="6"/>
  <c r="F31" i="6" s="1"/>
  <c r="C31" i="6"/>
  <c r="B31" i="6"/>
  <c r="H30" i="6"/>
  <c r="G30" i="6"/>
  <c r="I30" i="6" s="1"/>
  <c r="F30" i="6"/>
  <c r="E30" i="6"/>
  <c r="D30" i="6"/>
  <c r="C30" i="6"/>
  <c r="B30" i="6"/>
  <c r="H29" i="6"/>
  <c r="F29" i="6"/>
  <c r="E29" i="6"/>
  <c r="D29" i="6"/>
  <c r="G29" i="6" s="1"/>
  <c r="I29" i="6" s="1"/>
  <c r="C29" i="6"/>
  <c r="B29" i="6"/>
  <c r="H28" i="6"/>
  <c r="E28" i="6"/>
  <c r="D28" i="6"/>
  <c r="G28" i="6" s="1"/>
  <c r="I28" i="6" s="1"/>
  <c r="C28" i="6"/>
  <c r="B28" i="6"/>
  <c r="H27" i="6"/>
  <c r="G27" i="6"/>
  <c r="I27" i="6" s="1"/>
  <c r="F27" i="6"/>
  <c r="E27" i="6"/>
  <c r="D27" i="6"/>
  <c r="C27" i="6"/>
  <c r="B27" i="6"/>
  <c r="H26" i="6"/>
  <c r="F26" i="6"/>
  <c r="E26" i="6"/>
  <c r="D26" i="6"/>
  <c r="G26" i="6" s="1"/>
  <c r="I26" i="6" s="1"/>
  <c r="C26" i="6"/>
  <c r="B26" i="6"/>
  <c r="H25" i="6"/>
  <c r="E25" i="6"/>
  <c r="D25" i="6"/>
  <c r="G25" i="6" s="1"/>
  <c r="I25" i="6" s="1"/>
  <c r="C25" i="6"/>
  <c r="B25" i="6"/>
  <c r="H24" i="6"/>
  <c r="G24" i="6"/>
  <c r="I24" i="6" s="1"/>
  <c r="F24" i="6"/>
  <c r="E24" i="6"/>
  <c r="D24" i="6"/>
  <c r="C24" i="6"/>
  <c r="B24" i="6"/>
  <c r="H23" i="6"/>
  <c r="F23" i="6"/>
  <c r="E23" i="6"/>
  <c r="D23" i="6"/>
  <c r="G23" i="6" s="1"/>
  <c r="I23" i="6" s="1"/>
  <c r="C23" i="6"/>
  <c r="B23" i="6"/>
  <c r="H22" i="6"/>
  <c r="E22" i="6"/>
  <c r="D22" i="6"/>
  <c r="G22" i="6" s="1"/>
  <c r="I22" i="6" s="1"/>
  <c r="C22" i="6"/>
  <c r="B22" i="6"/>
  <c r="H21" i="6"/>
  <c r="G21" i="6"/>
  <c r="I21" i="6" s="1"/>
  <c r="F21" i="6"/>
  <c r="E21" i="6"/>
  <c r="D21" i="6"/>
  <c r="C21" i="6"/>
  <c r="B21" i="6"/>
  <c r="H20" i="6"/>
  <c r="F20" i="6"/>
  <c r="E20" i="6"/>
  <c r="D20" i="6"/>
  <c r="G20" i="6" s="1"/>
  <c r="I20" i="6" s="1"/>
  <c r="C20" i="6"/>
  <c r="B20" i="6"/>
  <c r="F48" i="6"/>
  <c r="E48" i="6"/>
  <c r="C48" i="6"/>
  <c r="B48" i="6"/>
  <c r="D48" i="6" s="1"/>
  <c r="G48" i="6" s="1"/>
  <c r="F47" i="6"/>
  <c r="E47" i="6"/>
  <c r="D47" i="6"/>
  <c r="H47" i="6" s="1"/>
  <c r="C47" i="6"/>
  <c r="B47" i="6"/>
  <c r="F46" i="6"/>
  <c r="E46" i="6"/>
  <c r="H46" i="6" s="1"/>
  <c r="D46" i="6"/>
  <c r="G46" i="6" s="1"/>
  <c r="C46" i="6"/>
  <c r="B46" i="6"/>
  <c r="F45" i="6"/>
  <c r="H45" i="6" s="1"/>
  <c r="E45" i="6"/>
  <c r="C45" i="6"/>
  <c r="B45" i="6"/>
  <c r="D45" i="6" s="1"/>
  <c r="G45" i="6" s="1"/>
  <c r="F44" i="6"/>
  <c r="E44" i="6"/>
  <c r="C44" i="6"/>
  <c r="B44" i="6"/>
  <c r="D44" i="6" s="1"/>
  <c r="G44" i="6" s="1"/>
  <c r="F43" i="6"/>
  <c r="E43" i="6"/>
  <c r="C43" i="6"/>
  <c r="B43" i="6"/>
  <c r="D43" i="6" s="1"/>
  <c r="F42" i="6"/>
  <c r="E42" i="6"/>
  <c r="H42" i="6" s="1"/>
  <c r="D42" i="6"/>
  <c r="G42" i="6" s="1"/>
  <c r="C42" i="6"/>
  <c r="B42" i="6"/>
  <c r="F41" i="6"/>
  <c r="E41" i="6"/>
  <c r="C41" i="6"/>
  <c r="B41" i="6"/>
  <c r="D41" i="6" s="1"/>
  <c r="G41" i="6" s="1"/>
  <c r="F40" i="6"/>
  <c r="E40" i="6"/>
  <c r="C40" i="6"/>
  <c r="B40" i="6"/>
  <c r="D40" i="6" s="1"/>
  <c r="G40" i="6" s="1"/>
  <c r="F39" i="6"/>
  <c r="E39" i="6"/>
  <c r="H39" i="6" s="1"/>
  <c r="D39" i="6"/>
  <c r="G39" i="6" s="1"/>
  <c r="C39" i="6"/>
  <c r="B39" i="6"/>
  <c r="C8" i="6"/>
  <c r="H9" i="6"/>
  <c r="C9" i="6"/>
  <c r="I9" i="6" s="1"/>
  <c r="K9" i="6" s="1"/>
  <c r="D9" i="6"/>
  <c r="F9" i="6" s="1"/>
  <c r="G8" i="6"/>
  <c r="E8" i="6"/>
  <c r="H8" i="6" s="1"/>
  <c r="D8" i="6"/>
  <c r="G7" i="6"/>
  <c r="E7" i="6"/>
  <c r="E10" i="6" s="1"/>
  <c r="C7" i="6"/>
  <c r="D7" i="6"/>
  <c r="G6" i="6"/>
  <c r="G10" i="6" s="1"/>
  <c r="E6" i="6"/>
  <c r="C6" i="6"/>
  <c r="C10" i="6" s="1"/>
  <c r="D6" i="6"/>
  <c r="F6" i="6" s="1"/>
  <c r="G43" i="6" l="1"/>
  <c r="H43" i="6"/>
  <c r="H48" i="6"/>
  <c r="H40" i="6"/>
  <c r="H41" i="6"/>
  <c r="H44" i="6"/>
  <c r="F7" i="6"/>
  <c r="J8" i="6"/>
  <c r="H7" i="6"/>
  <c r="G47" i="6"/>
  <c r="I6" i="6"/>
  <c r="K6" i="6" s="1"/>
  <c r="D10" i="6"/>
  <c r="F10" i="6" s="1"/>
  <c r="F22" i="6"/>
  <c r="F25" i="6"/>
  <c r="F28" i="6"/>
  <c r="F34" i="6"/>
  <c r="J9" i="6"/>
  <c r="H6" i="6"/>
  <c r="F8" i="6"/>
  <c r="J6" i="6"/>
  <c r="B16" i="6"/>
  <c r="I8" i="6"/>
  <c r="K8" i="6" s="1"/>
  <c r="I7" i="6" l="1"/>
  <c r="K7" i="6" s="1"/>
  <c r="J7" i="6"/>
  <c r="J10" i="6"/>
  <c r="H10" i="6"/>
  <c r="I10" i="6" s="1"/>
  <c r="K10" i="6" s="1"/>
</calcChain>
</file>

<file path=xl/sharedStrings.xml><?xml version="1.0" encoding="utf-8"?>
<sst xmlns="http://schemas.openxmlformats.org/spreadsheetml/2006/main" count="1933" uniqueCount="323">
  <si>
    <t>Data - Ano</t>
  </si>
  <si>
    <t>N4</t>
  </si>
  <si>
    <t>1º Aprovador</t>
  </si>
  <si>
    <t>NomeLB</t>
  </si>
  <si>
    <t>Orcamento</t>
  </si>
  <si>
    <t>Realizado</t>
  </si>
  <si>
    <t>Em Pgto</t>
  </si>
  <si>
    <t>Delta Caixa</t>
  </si>
  <si>
    <t>Compromisso</t>
  </si>
  <si>
    <t>A emitir</t>
  </si>
  <si>
    <t>Total</t>
  </si>
  <si>
    <t>Plat. De Captação E Produção</t>
  </si>
  <si>
    <t>tiago.faria@g.globo</t>
  </si>
  <si>
    <t>Nova Sede Brasília</t>
  </si>
  <si>
    <t>Adequações de produção 4k</t>
  </si>
  <si>
    <t>diogo.silva@g.globo</t>
  </si>
  <si>
    <t>Plataforma de Controles JB - Controle 3</t>
  </si>
  <si>
    <t>Plataforma de Controles RJ - Obs. Controle 3 ION</t>
  </si>
  <si>
    <t>Solução All In One</t>
  </si>
  <si>
    <t>rodrigo.ogura@g.globo</t>
  </si>
  <si>
    <t>Core IP JB - Fase 2 de 3</t>
  </si>
  <si>
    <t>Monitor Wall G5, Multiviewer CTL2 SP, COT CPP EG e Monitoração de Audio JB</t>
  </si>
  <si>
    <t>Core IP BH</t>
  </si>
  <si>
    <t>Core IP JB - Fase 1 (50% Parque JB)</t>
  </si>
  <si>
    <t>Georreferenciamento para o site ÍON</t>
  </si>
  <si>
    <t>Georreferenciamento SP</t>
  </si>
  <si>
    <t>Operação Remota BSA x JB</t>
  </si>
  <si>
    <t>Pool Recursos Controles de Eventos</t>
  </si>
  <si>
    <t>Roadmap Controles - Obsolescência Multiviewer</t>
  </si>
  <si>
    <t>arthurnsantos@g.globo</t>
  </si>
  <si>
    <t>Roadmap Estudio Rede 4k - Cameras SP</t>
  </si>
  <si>
    <t>Kit Light Jornalismo - JB + Restante SP (2027)</t>
  </si>
  <si>
    <t>Obs. Crítica Câmeras Super Slow</t>
  </si>
  <si>
    <t>Roadmap de Câmeras - Dramaturgia - Fase 3</t>
  </si>
  <si>
    <t>Obs. Crítica Canhões Seguidores MG2 (2027)</t>
  </si>
  <si>
    <t>Iluminação SP - Estúdio/Controle 3</t>
  </si>
  <si>
    <t>Iluminação SP - Mesa Estúdio 1</t>
  </si>
  <si>
    <t>Iluminação SP - Mesa Glass SP</t>
  </si>
  <si>
    <t>Obs. Crítica Câmeras Ion - CAMBOX Estúdio C</t>
  </si>
  <si>
    <t>Automação Hoists MG2 - Obs. Crítica e Mesa de Iluminação EST-3 SP</t>
  </si>
  <si>
    <t>BC Iluminação Branca Estúdio 1 SP</t>
  </si>
  <si>
    <t>Câmeras de Externa - Obs. crítica G5</t>
  </si>
  <si>
    <t>Câmeras Robô - Obs. crítica ION</t>
  </si>
  <si>
    <t>Câmeras Robóticas G5</t>
  </si>
  <si>
    <t>CEE - Câmera Estúdio Externa EG</t>
  </si>
  <si>
    <t>Gnews no estúdio  A</t>
  </si>
  <si>
    <t>Iluminação SP - Mesa e acessórios JG e JH</t>
  </si>
  <si>
    <t>Kit de Externa Internacional</t>
  </si>
  <si>
    <t>Kit Light Jornalismo - SP</t>
  </si>
  <si>
    <t>Lentes Full Frame</t>
  </si>
  <si>
    <t>Obs. Crítica Câmeras de Externa BH -  Fase 2</t>
  </si>
  <si>
    <t>Obs. Crítica Câmeras de Externa BSA - Fase 2</t>
  </si>
  <si>
    <t>Obs. Crítica Câmeras Ion - CAMBOX Estúdio A</t>
  </si>
  <si>
    <t>Obs. Crítica Canhões Seguidores MG2 (2026)</t>
  </si>
  <si>
    <t>Obs. Crítica Sistema de Trânsito REC</t>
  </si>
  <si>
    <t>Obs. Crítica Sistema de Trânsito SP</t>
  </si>
  <si>
    <t>Obs. Crítica TP BH</t>
  </si>
  <si>
    <t>Obsolescência - Roadmap de Câmeras 2024</t>
  </si>
  <si>
    <t>Obsolescência Kits TP BH, DF, REC E ION</t>
  </si>
  <si>
    <t>Roadmap de Iluminação - Obsolescência</t>
  </si>
  <si>
    <t>Sistemas de TP - Obs. crítica BSA</t>
  </si>
  <si>
    <t>Iluminação EST-F JB | Cidade CEN. EG</t>
  </si>
  <si>
    <t>Obsolescência Kits de Externa - BH, DF, REC e SP</t>
  </si>
  <si>
    <t>Obsolescência Troca do filtro do glass</t>
  </si>
  <si>
    <t>Roadmap Câmeras de Cinema 4K</t>
  </si>
  <si>
    <t>Roadmap Câmeras de Cinema 4K - Fase 2</t>
  </si>
  <si>
    <t>fparisi@g.globo</t>
  </si>
  <si>
    <t>Roadmap Estudio Rede 4k - Cameras RJ</t>
  </si>
  <si>
    <t>Obs. Crítica Tripes EG</t>
  </si>
  <si>
    <t>Obs. Crítica Câmeras PTZs</t>
  </si>
  <si>
    <t>Roadmap de Câmeras - DSLR</t>
  </si>
  <si>
    <t>Obs. Crítica Dramaturgia EG - Mattebox</t>
  </si>
  <si>
    <t>Obs. Crítica Dramaturgia EG - Monitores UPP (TV Logic)</t>
  </si>
  <si>
    <t>Obs. Crítica Estúdios JB - Retrofit Grua Est-D</t>
  </si>
  <si>
    <t>Obs. Crítica Refletores (MG1/MG4) Fase 2 (2027)</t>
  </si>
  <si>
    <t>Aquisição Kit diretor pro Entretenimento</t>
  </si>
  <si>
    <t>BBB 2026 Reposição Microfones</t>
  </si>
  <si>
    <t>BBB Página em Branco Fase 1</t>
  </si>
  <si>
    <t>BC DSLR para UPs 2026</t>
  </si>
  <si>
    <t>CI LED - Complemento</t>
  </si>
  <si>
    <t>ESPORTE+ Evolução da Cable Cam</t>
  </si>
  <si>
    <t>Estúdios EG Obsolescência</t>
  </si>
  <si>
    <t>Inovação em C&amp;P</t>
  </si>
  <si>
    <t>Novo Cenário BDBR</t>
  </si>
  <si>
    <t>Obs. Crítica Dramaturgia EG - Sistema de Mobilidade (Teradek)</t>
  </si>
  <si>
    <t>Obs. Crítica Refletores (MG1/MG4) Fase 2 (2026)</t>
  </si>
  <si>
    <t>Obs. Crítica Robôs ION</t>
  </si>
  <si>
    <t>Obsolescência UPPs Dramaturgia (2023)</t>
  </si>
  <si>
    <t>Roadmap de Iluminação - Carros de Iluminação EG</t>
  </si>
  <si>
    <t>Sistema de Estabilização de Câmera</t>
  </si>
  <si>
    <t>Sistema de Movimentação BSA - Obs. Crítica</t>
  </si>
  <si>
    <t>BBB Página em Branco Fase 2</t>
  </si>
  <si>
    <t>roberta.mesquita@g.globo</t>
  </si>
  <si>
    <t>Obsolescencia - Mixer Fantastico</t>
  </si>
  <si>
    <t>Obsolescencia Gravadores Multipista MG4</t>
  </si>
  <si>
    <t>Obsolescencia Gravadores Multipista MG1</t>
  </si>
  <si>
    <t>Obsolescência Microfones - Fantástico</t>
  </si>
  <si>
    <t>Obs Comunicação Operacional - SP</t>
  </si>
  <si>
    <t>Obs Comunicação Operacional - JB</t>
  </si>
  <si>
    <t>Obs Comunicação Operacional - BH</t>
  </si>
  <si>
    <t>Obsolescência Microfones - PRJ</t>
  </si>
  <si>
    <t>Caixas Acústicas de PA do MG-2 - Obs. crítica</t>
  </si>
  <si>
    <t>Caixas Acústicas de PA MG-2</t>
  </si>
  <si>
    <t>Comunicação Operacional - Obs. crítica BH, BSA e REC</t>
  </si>
  <si>
    <t>Controles JB Obsolescência – Mixer Controle 3 JB</t>
  </si>
  <si>
    <t>ESPORTE+ Solução de auto Mix AI</t>
  </si>
  <si>
    <t>Obsolescência - Microfone Sem fio e Paineis de Comunicação</t>
  </si>
  <si>
    <t>Obsolescência Crítica kits microfone</t>
  </si>
  <si>
    <t>Obsolescência Crítica Sist. Áudio - JB, SP e MG-2</t>
  </si>
  <si>
    <t>Obsolescência Microfones - MG1</t>
  </si>
  <si>
    <t>Produção de conteúdos MPEG-H Rio e SP</t>
  </si>
  <si>
    <t>Roadmap Controles - Obsolescência Audio Mixer</t>
  </si>
  <si>
    <t>MG1 - Fase 2</t>
  </si>
  <si>
    <t>Obsolescência - Audio Mixer - Linha de Show</t>
  </si>
  <si>
    <t>Obsolescência Comunicação Operacional - ION, BH e REC</t>
  </si>
  <si>
    <t>victor.chagas@g.globo</t>
  </si>
  <si>
    <t>Plataforma de Controles BH</t>
  </si>
  <si>
    <t>Monitoração e Contribuição G5 - Monitor Wall EG</t>
  </si>
  <si>
    <t>Monitoração e Contribuição G5 - Monitor Wall ION</t>
  </si>
  <si>
    <t>Monitoração e Contribuição G5 - Monitor Wall JB</t>
  </si>
  <si>
    <t>Monitoração e Contribuição G5 - Monitor Wall SP</t>
  </si>
  <si>
    <t>Monitoração e Contribuição G5 - Skype BH</t>
  </si>
  <si>
    <t>Monitoração e Contribuição G5 - Skype BSA</t>
  </si>
  <si>
    <t>Monitoração e Contribuição G5 - Skype ION</t>
  </si>
  <si>
    <t>Monitoração e Contribuição G5 - Skype JB</t>
  </si>
  <si>
    <t>Monitoração e Contribuição G5 - Skype REC</t>
  </si>
  <si>
    <t>Monitoração e Contribuição G5 - Skype SP</t>
  </si>
  <si>
    <t>Controles 2 e 5 JB</t>
  </si>
  <si>
    <t>Conversor de norma: Obs. crítica COT SP</t>
  </si>
  <si>
    <t>Escritório Londres</t>
  </si>
  <si>
    <t>Obsolescência Instant Replay JB e ION</t>
  </si>
  <si>
    <t>Plataforma de Controles SP - Obs. Controle 1 SP_1</t>
  </si>
  <si>
    <t>Plataforma de Controles SP - Obs. Controle 1 SP_2</t>
  </si>
  <si>
    <t>Produção Futebol+ em 4K HDR</t>
  </si>
  <si>
    <t>Roadmap Instant Replay - Obsolescência</t>
  </si>
  <si>
    <t>Solução Tier 3 JB</t>
  </si>
  <si>
    <t>Obsolescência Crítica Recife</t>
  </si>
  <si>
    <t>Roadmap de Controles - MVP Central Production</t>
  </si>
  <si>
    <t>rodrigo.candido.andrade@g.globo</t>
  </si>
  <si>
    <t>UPR – Unidade de Produção Remota</t>
  </si>
  <si>
    <t>rodrigo.octavio@g.globo</t>
  </si>
  <si>
    <t>MVP da Orquestração do Produção Central</t>
  </si>
  <si>
    <t/>
  </si>
  <si>
    <t>Kits De Externa - Up Kit Light Recife</t>
  </si>
  <si>
    <t>Obsolescência Controle 1 SP</t>
  </si>
  <si>
    <t>UPPs Dramaturgia - Sistemas de TV</t>
  </si>
  <si>
    <t>(vazio)</t>
  </si>
  <si>
    <t>Comunicação Operacional (ÍON, BSA, REC)</t>
  </si>
  <si>
    <t>Iluminação Est-B  (BSA) / Sistema Panic do JB</t>
  </si>
  <si>
    <t>pedro@g.globo</t>
  </si>
  <si>
    <t>Cloudification - Live Production - GCP</t>
  </si>
  <si>
    <t>Plat. De Pós-Prod. E Design</t>
  </si>
  <si>
    <t>geonis.teixeira@g.globo</t>
  </si>
  <si>
    <t>Estações Design (33) - EG</t>
  </si>
  <si>
    <t>Render (16) - EG</t>
  </si>
  <si>
    <t>Pool GC Vizrt ION (Fase 2)</t>
  </si>
  <si>
    <t>Estações Design (7) - SP</t>
  </si>
  <si>
    <t>Estações Design (2) - REC</t>
  </si>
  <si>
    <t>Ambiente de Criação GC 4K SP</t>
  </si>
  <si>
    <t>Backend GC ION &amp; Homolog GC EG</t>
  </si>
  <si>
    <t>Cloudification - VFX - GCP</t>
  </si>
  <si>
    <t>Estações VFX (30)</t>
  </si>
  <si>
    <t>GC 4K JB - CTL 3</t>
  </si>
  <si>
    <t>Obsolescência - Composição Flame</t>
  </si>
  <si>
    <t>Obsolescência Composição (2023)</t>
  </si>
  <si>
    <t>Renders VFX (35)</t>
  </si>
  <si>
    <t>Roadmap de GCs</t>
  </si>
  <si>
    <t>renan.reis@g.globo</t>
  </si>
  <si>
    <t>Obsolescência Colorgrading (x3) - EG</t>
  </si>
  <si>
    <t>Obsolescência Ingest Live SP - Fase 1</t>
  </si>
  <si>
    <t>Obsolescência Central de Foley</t>
  </si>
  <si>
    <t>Obsolescência Colorgrading (x1) - SP</t>
  </si>
  <si>
    <t>Áudio Imersivo MPEG-H (Sonos: 2 EG + 1 SP)</t>
  </si>
  <si>
    <t>Ilhas de colorização EG (1 de 4)</t>
  </si>
  <si>
    <t>Ilhas de Edição (42)</t>
  </si>
  <si>
    <t>Ilhas de Edição G5</t>
  </si>
  <si>
    <t>Obs. VDI (1 cluster de 3 - 12 ilhas)</t>
  </si>
  <si>
    <t>Obsolescência - Edição 2024</t>
  </si>
  <si>
    <t>Obsolescência - Ingest Íon</t>
  </si>
  <si>
    <t>Obsolescência - Sonorização 2024</t>
  </si>
  <si>
    <t>Obsolescência - Transcoding Vantage</t>
  </si>
  <si>
    <t>Obsolescência Avaliação Técnica &amp; Finalização</t>
  </si>
  <si>
    <t>Obsolescência Ilhas de Edição 2023</t>
  </si>
  <si>
    <t>Obsolescência MAM Vizrt 2023</t>
  </si>
  <si>
    <t>Pool de Trascoding ION &amp; EG (Amberfin)</t>
  </si>
  <si>
    <t>Workflow 4K Light (sites: JB, ÍON &amp; SP)</t>
  </si>
  <si>
    <t>julia.maia.rodrigues@g.globo</t>
  </si>
  <si>
    <t>Obsolescência Cliplayer (4) - SP</t>
  </si>
  <si>
    <t>Obsolescência Telas Estudio Regionais - BH</t>
  </si>
  <si>
    <t>Campo tático</t>
  </si>
  <si>
    <t>MVP Produção Virtual XR (Dramaturgia)</t>
  </si>
  <si>
    <t>Novo Cenário JG</t>
  </si>
  <si>
    <t>Obsolescência - Grafismo e Produção Virtual</t>
  </si>
  <si>
    <t>Obsolescência - Sistema de Análise Tática</t>
  </si>
  <si>
    <t>Obsolescência Cliplayer (4) - JB</t>
  </si>
  <si>
    <t>Obsolescência Produção Virtual Jornalismo &amp; Esporte - RJ e SP</t>
  </si>
  <si>
    <t>Obsolescência Render Grafismo BSB</t>
  </si>
  <si>
    <t>Obsolescência Telas Estudio Regionais - BSA</t>
  </si>
  <si>
    <t>Produção Virtual EG - Fase 2</t>
  </si>
  <si>
    <t>Telas e touch - EG, SP e ION</t>
  </si>
  <si>
    <t>Consolidação Storages ÍON</t>
  </si>
  <si>
    <t>Esteira 4k Pós Produção</t>
  </si>
  <si>
    <t>Obsolescência - Video Wall - Central de Ingest CPP</t>
  </si>
  <si>
    <t>lai@g.</t>
  </si>
  <si>
    <t>Jornada dos PAMs (Losys Recife)</t>
  </si>
  <si>
    <t>lai@g.globo</t>
  </si>
  <si>
    <t>Obsolescência - Playout Airspeed</t>
  </si>
  <si>
    <t>PAM do Futuro - PoC</t>
  </si>
  <si>
    <t>Roadmap Playout Controles - SP/JB/BSA</t>
  </si>
  <si>
    <t>Grafismo Virtual - Sistemas de Tracking</t>
  </si>
  <si>
    <t>PAM do Futuro - Inews</t>
  </si>
  <si>
    <t>priscila.david@g.globo</t>
  </si>
  <si>
    <t>PAM do Futuro - Revisão dos MAMs</t>
  </si>
  <si>
    <t>PAM do Futuro - Ingest</t>
  </si>
  <si>
    <t>rodrigo.freitas@g.globo</t>
  </si>
  <si>
    <t>Obs. Ingest Live Ion - Fase 2</t>
  </si>
  <si>
    <t>Obsolescência - BBB Página em Branco - Fase 3</t>
  </si>
  <si>
    <t>Obsolescência SO MAM VIZRT SP</t>
  </si>
  <si>
    <t>PAM do Futuro - Plataforma de Revisão e Aprovação (FrameIO)</t>
  </si>
  <si>
    <t>Workflow 4K de edição</t>
  </si>
  <si>
    <t>Obsolescência Vantage CPP</t>
  </si>
  <si>
    <t>Plat. De Metadados E Mídias</t>
  </si>
  <si>
    <t>caio.guedes@g.globo</t>
  </si>
  <si>
    <t>Globo Mídia - Integrações com Plataformas de Mídias e Dados e Evolução do UniCo</t>
  </si>
  <si>
    <t>marcio.rocha@g.globo</t>
  </si>
  <si>
    <t>Obsolescência Ilhas edição Acervo</t>
  </si>
  <si>
    <t>Upgrade Mecalux</t>
  </si>
  <si>
    <t>Migração dos Sistemas legados do Acervo EG</t>
  </si>
  <si>
    <t>Obs. Servidores ACTORs DIVA + Upgrade LTO ION</t>
  </si>
  <si>
    <t>Upgrade da Aplicação do MAM/PAM VIZRT</t>
  </si>
  <si>
    <t>alessandror@g.globo</t>
  </si>
  <si>
    <t>Cloudification e Evolução</t>
  </si>
  <si>
    <t>Desativação Gradeweb (migração para o Guia)</t>
  </si>
  <si>
    <t>BC - Servidores Sistemas de Realities</t>
  </si>
  <si>
    <t>rmonteiro@g.globo</t>
  </si>
  <si>
    <t>Acervo Musical Integrado e Desativação do SOM</t>
  </si>
  <si>
    <t>Desenvolvimento do Hub de Direitos</t>
  </si>
  <si>
    <t>adonias.melo@g.globo</t>
  </si>
  <si>
    <t>Obsolescência Ilhas Acervo (G5)</t>
  </si>
  <si>
    <t>igor.almeida@g.globo</t>
  </si>
  <si>
    <t>Move to Cloud - BC Soluções Corporativas MSC</t>
  </si>
  <si>
    <t>mauricio.mascarenhas@g.globo</t>
  </si>
  <si>
    <t>Consolidação Storage Acervo Íon 2024</t>
  </si>
  <si>
    <t>Obsolescência - IBMS - Hardware e Software</t>
  </si>
  <si>
    <t>Rafael Monteiro</t>
  </si>
  <si>
    <t>Nova Plataforma de Licenciamento de Conteúdos Globo</t>
  </si>
  <si>
    <t>Filtros aplicados:
N3 - Copiar é Plataformas De Produção
NovoStatus não é CANCELED ou INCOMPLETE
Cenários é BGQ3
Natureza é CAPEX
Ano é 2026 ou 2027
N4 não é Plataforma de Distribuição, Plataforma de Pré Produção, Plataforma Entrega Pub., Plataformas de Produção de Conteúdo ou Projetos de Instalações
N3 não é (Em branco)
NomeLB não é Produção Remota para Missa SP ou Globo Midia
REQ_COMPRA não é RCGRJ10523844
Rubrica não é (Em branco)
N4 não é Plataforma De Distribuição, Plataforma De Pré-Produção ou Plataforma Entrega Pub.</t>
  </si>
  <si>
    <t>N3</t>
  </si>
  <si>
    <t>nome gestor</t>
  </si>
  <si>
    <t>email gestor</t>
  </si>
  <si>
    <t>Plataformas de Produção</t>
  </si>
  <si>
    <t>Marcelo Fontana</t>
  </si>
  <si>
    <t>marcelo.fontana@g.globo</t>
  </si>
  <si>
    <t>Wagner Telles</t>
  </si>
  <si>
    <t>wagner.telles@g.globo</t>
  </si>
  <si>
    <t>Adonias Melo</t>
  </si>
  <si>
    <t>Data - Nome do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</si>
  <si>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</si>
  <si>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</si>
  <si>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</si>
  <si>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</si>
  <si>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</si>
  <si>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</si>
  <si>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</si>
  <si>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</si>
  <si>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</si>
  <si>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</si>
  <si>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</si>
  <si>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</si>
  <si>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BG_Q2</t>
  </si>
  <si>
    <t>Produção Remota para Missa SP</t>
  </si>
  <si>
    <t>Globo Midia</t>
  </si>
  <si>
    <t>Plataforma De Pré-Produção</t>
  </si>
  <si>
    <t>Move to cloud e Resgate / upload dos assets do Acervo da Produção Artística</t>
  </si>
  <si>
    <t>Move AWS to GCP - Newshub e SCOUT</t>
  </si>
  <si>
    <t>Filtros aplicados:
N4 não é (Em branco), Plataforma De Distribuição, Plataforma Entrega Pub. ou Plat. De Exibição</t>
  </si>
  <si>
    <t>Leonardo Cabral</t>
  </si>
  <si>
    <t>leonardo.cabral@g.globo</t>
  </si>
  <si>
    <t>📊 STATUS REPORT - FLUXO DE CAIXA 2026 | Plataformas de Produção</t>
  </si>
  <si>
    <t>Data Base: 27/07/2026 | Preparado para: Reunião com Diretor N3</t>
  </si>
  <si>
    <t>Plataforma (N4)</t>
  </si>
  <si>
    <t>Gestor</t>
  </si>
  <si>
    <t>A Emitir</t>
  </si>
  <si>
    <t>TOTAL GERAL</t>
  </si>
  <si>
    <t>-</t>
  </si>
  <si>
    <t>#</t>
  </si>
  <si>
    <t>Projeto (NomeLB)</t>
  </si>
  <si>
    <t>Executado</t>
  </si>
  <si>
    <t>% Comprom.</t>
  </si>
  <si>
    <t>Desvio R$</t>
  </si>
  <si>
    <t>LEGENDA E OBSERVAÇÕES</t>
  </si>
  <si>
    <t>RESUMO EXECUTIVO POR PLATAFORMA (N4) - VISÃO PLURIANUAL</t>
  </si>
  <si>
    <t>Orç. 2026</t>
  </si>
  <si>
    <t>Orç. Plurianual</t>
  </si>
  <si>
    <t>% Exec 2026</t>
  </si>
  <si>
    <t>% Orç. Plurianual</t>
  </si>
  <si>
    <t>Status</t>
  </si>
  <si>
    <t>📊 ANÁLISE DE RISCO - VISÃO CORRIGIDA</t>
  </si>
  <si>
    <t>Total de Projetos Analisados:</t>
  </si>
  <si>
    <t>🔴 ESTOURO DE ORÇAMENTO PLURIANUAL (Comprom. &gt; Orç. Total):</t>
  </si>
  <si>
    <t>💰 Valor Total A EMITIR (projetos baixo compromisso):</t>
  </si>
  <si>
    <t>Prioridade</t>
  </si>
  <si>
    <t>🔴 ESTOURO REAL DE ORÇAMENTO PLURIANUAL (Comprometido &gt; Orçamento Total)</t>
  </si>
  <si>
    <t>Nota: Estes projetos TÊM compromisso superior ao orçamento plurianual aprovado - requer ação corretiva.</t>
  </si>
  <si>
    <t>% do Orç.</t>
  </si>
  <si>
    <t>Ação</t>
  </si>
  <si>
    <t>Revisar compromisso</t>
  </si>
  <si>
    <t>🔴 ESTOURO: Comprometido &gt; Orçamento PLURIANUAL - Risco REAL de estouro de orçamento</t>
  </si>
  <si>
    <t>🟡 BAIXA EXEC: Execução &lt; 40% do orçamento 2026 - Ritmo abaixo do esperado</t>
  </si>
  <si>
    <t>🟢 OK: Comprometimento adequado e execução dentro do esperado</t>
  </si>
  <si>
    <t>Conceitos Importantes:</t>
  </si>
  <si>
    <t>• Estouro de CAIXA (anual) ≠ Estouro de ORÇAMENTO (plurianual) - Caixa é controlável pelo gestor</t>
  </si>
  <si>
    <t>Fonte: Aba 'Realizado' (execução) + Aba 'Orçamento' (plurianual) | Data Base: 27/07/2026</t>
  </si>
  <si>
    <t>⚠️ FOCO: PROJETOS COM BAIXO COMPROMISSO vs CAIXA 2026</t>
  </si>
  <si>
    <t>Orç. Caixa 2026</t>
  </si>
  <si>
    <t>Falta Comprometer</t>
  </si>
  <si>
    <t>📊 Critérios: Compromisso &lt; 80% do Caixa 2026 | A Comprometer &gt; R$ 50k | Excluindo Pré-Produção</t>
  </si>
  <si>
    <t>🟠 BAIXO COMPROMISSO (&lt; 80% do Caixa 2026, excl. Pré-Prod) - FOCO:</t>
  </si>
  <si>
    <t>🟠 BAIXO COMPROM.: Compromisso &lt; 80% do Caixa 2026 - Projetos que precisam acelerar emissões</t>
  </si>
  <si>
    <t>⚠️ Projetos da Plataforma de Pré-Produção foram EXCLUÍDOS da análise de Baixo Compromisso</t>
  </si>
  <si>
    <t>⚠️ Projetos que já emitiram ACIMA do caixa 2026 não são risco (podem estar adiantando burocracias)</t>
  </si>
  <si>
    <t>Provisionado</t>
  </si>
  <si>
    <t>Realizado + Em pgt
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</si>
</sst>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\R&quot;R$&quot;\ #,##0"/>
  </numFmts>
  <fonts count="11" x14ac:knownFonts="1">
    <font>
      <sz val="11"/>
      <name val="Aptos Narrow"/>
    </font>
    <font>
      <b/>
      <sz val="11"/>
      <name val="Aptos Narrow"/>
    </font>
    <font>
      <sz val="11"/>
      <name val="Aptos Narrow"/>
    </font>
    <font>
      <b/>
      <sz val="16"/>
      <color rgb="FFFFFFFF"/>
      <name val="Aptos Narrow"/>
    </font>
    <font>
      <i/>
      <sz val="11"/>
      <name val="Aptos Narrow"/>
    </font>
    <font>
      <b/>
      <sz val="12"/>
      <color rgb="FFFFFFFF"/>
      <name val="Aptos Narrow"/>
    </font>
    <font>
      <b/>
      <sz val="11"/>
      <color rgb="FFC00000"/>
      <name val="Aptos Narrow"/>
    </font>
    <font>
      <b/>
      <sz val="11"/>
      <color rgb="FFED7D31"/>
      <name val="Aptos Narrow"/>
    </font>
    <font>
      <b/>
      <sz val="14"/>
      <color rgb="FFED7D31"/>
      <name val="Aptos Narrow"/>
    </font>
    <font>
      <i/>
      <sz val="10"/>
      <color rgb="FF666666"/>
      <name val="Aptos Narrow"/>
    </font>
    <font>
      <i/>
      <sz val="11"/>
      <color rgb="FF666666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0" fillId="0" borderId="1" xfId="1" applyNumberFormat="1" applyFont="1" applyBorder="1"/>
    <xf numFmtId="164" fontId="1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5" fillId="4" borderId="0" xfId="0" applyFont="1" applyFill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/>
    <xf numFmtId="3" fontId="0" fillId="0" borderId="0" xfId="0" applyNumberFormat="1"/>
    <xf numFmtId="3" fontId="1" fillId="6" borderId="0" xfId="0" applyNumberFormat="1" applyFont="1" applyFill="1"/>
    <xf numFmtId="165" fontId="0" fillId="0" borderId="0" xfId="0" applyNumberFormat="1"/>
    <xf numFmtId="165" fontId="1" fillId="6" borderId="0" xfId="0" applyNumberFormat="1" applyFont="1" applyFill="1"/>
    <xf numFmtId="0" fontId="5" fillId="7" borderId="0" xfId="0" applyFont="1" applyFill="1"/>
    <xf numFmtId="0" fontId="6" fillId="0" borderId="0" xfId="0" applyFont="1"/>
    <xf numFmtId="0" fontId="1" fillId="3" borderId="0" xfId="0" applyFont="1" applyFill="1"/>
    <xf numFmtId="0" fontId="5" fillId="2" borderId="0" xfId="0" applyFont="1" applyFill="1"/>
    <xf numFmtId="0" fontId="8" fillId="0" borderId="0" xfId="0" applyFont="1"/>
    <xf numFmtId="166" fontId="1" fillId="0" borderId="0" xfId="0" applyNumberFormat="1" applyFont="1"/>
    <xf numFmtId="0" fontId="5" fillId="8" borderId="0" xfId="0" applyFont="1" applyFill="1"/>
    <xf numFmtId="3" fontId="7" fillId="0" borderId="0" xfId="0" applyNumberFormat="1" applyFont="1"/>
    <xf numFmtId="0" fontId="1" fillId="9" borderId="0" xfId="0" applyFont="1" applyFill="1" applyAlignment="1">
      <alignment horizontal="center"/>
    </xf>
    <xf numFmtId="3" fontId="6" fillId="0" borderId="0" xfId="0" applyNumberFormat="1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10073E-C89B-4EEC-938C-D589752EE6D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0564f71-cd29-423a-be3b-305a5846b71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9A07-DB95-4A6D-9828-4DE0A09611E7}">
  <dimension ref="A1:T191"/>
  <sheetViews>
    <sheetView workbookViewId="0">
      <selection activeCell="A173" sqref="A173:A185"/>
    </sheetView>
  </sheetViews>
  <sheetFormatPr defaultRowHeight="14.5" x14ac:dyDescent="0.35"/>
  <cols>
    <col min="1" max="1" width="36.08984375" customWidth="1"/>
    <col min="2" max="2" width="57" customWidth="1"/>
    <col min="3" max="7" width="12.7265625" bestFit="1" customWidth="1"/>
    <col min="8" max="8" width="13.81640625" bestFit="1" customWidth="1"/>
    <col min="9" max="9" width="12.7265625" bestFit="1" customWidth="1"/>
    <col min="10" max="14" width="13.81640625" bestFit="1" customWidth="1"/>
    <col min="15" max="15" width="14.81640625" bestFit="1" customWidth="1"/>
    <col min="16" max="17" width="12.7265625" bestFit="1" customWidth="1"/>
    <col min="18" max="20" width="14.81640625" bestFit="1" customWidth="1"/>
  </cols>
  <sheetData>
    <row r="1" spans="1:20" x14ac:dyDescent="0.35">
      <c r="A1" s="35" t="s">
        <v>0</v>
      </c>
      <c r="B1" s="38"/>
      <c r="C1" s="36">
        <v>2026</v>
      </c>
      <c r="D1" s="36">
        <v>2026</v>
      </c>
      <c r="E1" s="36">
        <v>2026</v>
      </c>
      <c r="F1" s="36">
        <v>2026</v>
      </c>
      <c r="G1" s="36">
        <v>2026</v>
      </c>
      <c r="H1" s="36">
        <v>2026</v>
      </c>
      <c r="I1" s="36">
        <v>2026</v>
      </c>
      <c r="J1" s="36">
        <v>2026</v>
      </c>
      <c r="K1" s="36">
        <v>2026</v>
      </c>
      <c r="L1" s="36">
        <v>2026</v>
      </c>
      <c r="M1" s="36">
        <v>2026</v>
      </c>
      <c r="N1" s="36">
        <v>2026</v>
      </c>
      <c r="O1" s="36">
        <v>2026</v>
      </c>
      <c r="P1" s="36">
        <v>2027</v>
      </c>
      <c r="Q1" s="36">
        <v>2027</v>
      </c>
      <c r="R1" s="36">
        <v>2027</v>
      </c>
      <c r="S1" s="36">
        <v>2027</v>
      </c>
      <c r="T1" s="37" t="s">
        <v>10</v>
      </c>
    </row>
    <row r="2" spans="1:20" x14ac:dyDescent="0.35">
      <c r="A2" s="35" t="s">
        <v>256</v>
      </c>
      <c r="B2" s="38"/>
      <c r="C2" s="6" t="s">
        <v>257</v>
      </c>
      <c r="D2" s="6" t="s">
        <v>258</v>
      </c>
      <c r="E2" s="6" t="s">
        <v>259</v>
      </c>
      <c r="F2" s="6" t="s">
        <v>260</v>
      </c>
      <c r="G2" s="6" t="s">
        <v>261</v>
      </c>
      <c r="H2" s="6" t="s">
        <v>262</v>
      </c>
      <c r="I2" s="6" t="s">
        <v>263</v>
      </c>
      <c r="J2" s="6" t="s">
        <v>264</v>
      </c>
      <c r="K2" s="6" t="s">
        <v>265</v>
      </c>
      <c r="L2" s="6" t="s">
        <v>266</v>
      </c>
      <c r="M2" s="6" t="s">
        <v>267</v>
      </c>
      <c r="N2" s="6" t="s">
        <v>268</v>
      </c>
      <c r="O2" s="7" t="s">
        <v>10</v>
      </c>
      <c r="P2" s="6" t="s">
        <v>257</v>
      </c>
      <c r="Q2" s="6" t="s">
        <v>258</v>
      </c>
      <c r="R2" s="6" t="s">
        <v>259</v>
      </c>
      <c r="S2" s="7" t="s">
        <v>10</v>
      </c>
      <c r="T2" s="38"/>
    </row>
    <row r="3" spans="1:20" x14ac:dyDescent="0.35">
      <c r="A3" s="2" t="s">
        <v>1</v>
      </c>
      <c r="B3" s="2" t="s">
        <v>3</v>
      </c>
      <c r="C3" s="2" t="s">
        <v>269</v>
      </c>
      <c r="D3" s="2" t="s">
        <v>269</v>
      </c>
      <c r="E3" s="2" t="s">
        <v>269</v>
      </c>
      <c r="F3" s="2" t="s">
        <v>269</v>
      </c>
      <c r="G3" s="2" t="s">
        <v>269</v>
      </c>
      <c r="H3" s="2" t="s">
        <v>269</v>
      </c>
      <c r="I3" s="2" t="s">
        <v>269</v>
      </c>
      <c r="J3" s="2" t="s">
        <v>269</v>
      </c>
      <c r="K3" s="2" t="s">
        <v>269</v>
      </c>
      <c r="L3" s="2" t="s">
        <v>269</v>
      </c>
      <c r="M3" s="2" t="s">
        <v>269</v>
      </c>
      <c r="N3" s="2" t="s">
        <v>269</v>
      </c>
      <c r="O3" s="3" t="s">
        <v>269</v>
      </c>
      <c r="P3" s="2" t="s">
        <v>269</v>
      </c>
      <c r="Q3" s="2" t="s">
        <v>269</v>
      </c>
      <c r="R3" s="2" t="s">
        <v>269</v>
      </c>
      <c r="S3" s="3" t="s">
        <v>269</v>
      </c>
      <c r="T3" s="3" t="s">
        <v>269</v>
      </c>
    </row>
    <row r="4" spans="1:20" x14ac:dyDescent="0.35">
      <c r="A4" s="35" t="s">
        <v>11</v>
      </c>
      <c r="B4" s="5" t="s">
        <v>10</v>
      </c>
      <c r="C4" s="9">
        <v>5158292.32</v>
      </c>
      <c r="D4" s="9">
        <v>2654327.4699999997</v>
      </c>
      <c r="E4" s="9">
        <v>2172937.04</v>
      </c>
      <c r="F4" s="9">
        <v>4016051.8071999997</v>
      </c>
      <c r="G4" s="9">
        <v>2120877.7122</v>
      </c>
      <c r="H4" s="9">
        <v>11178131.4201</v>
      </c>
      <c r="I4" s="9">
        <v>3530361.4364</v>
      </c>
      <c r="J4" s="9">
        <v>10340809.5931</v>
      </c>
      <c r="K4" s="9">
        <v>23600873.820900001</v>
      </c>
      <c r="L4" s="9">
        <v>3393933.9688999997</v>
      </c>
      <c r="M4" s="9">
        <v>14969643.378900001</v>
      </c>
      <c r="N4" s="9">
        <v>14869868.742299998</v>
      </c>
      <c r="O4" s="9">
        <v>98006108.710000038</v>
      </c>
      <c r="P4" s="9">
        <v>1440768</v>
      </c>
      <c r="Q4" s="9">
        <v>1696094</v>
      </c>
      <c r="R4" s="9">
        <v>90001715.9833</v>
      </c>
      <c r="S4" s="9">
        <v>93138577.9833</v>
      </c>
      <c r="T4" s="9">
        <v>191144686.69330007</v>
      </c>
    </row>
    <row r="5" spans="1:20" x14ac:dyDescent="0.35">
      <c r="A5" s="35" t="s">
        <v>11</v>
      </c>
      <c r="B5" s="4" t="s">
        <v>13</v>
      </c>
      <c r="C5" s="10"/>
      <c r="D5" s="10"/>
      <c r="E5" s="10"/>
      <c r="F5" s="10"/>
      <c r="G5" s="10">
        <v>301888.48</v>
      </c>
      <c r="H5" s="10">
        <v>79203.990000000005</v>
      </c>
      <c r="I5" s="10">
        <v>881519.01</v>
      </c>
      <c r="J5" s="10">
        <v>140451.97</v>
      </c>
      <c r="K5" s="10">
        <v>140451.97</v>
      </c>
      <c r="L5" s="10">
        <v>1185451.97</v>
      </c>
      <c r="M5" s="10">
        <v>935451.97</v>
      </c>
      <c r="N5" s="10">
        <v>1314903.94</v>
      </c>
      <c r="O5" s="9">
        <v>4979323.2999999989</v>
      </c>
      <c r="P5" s="10"/>
      <c r="Q5" s="10"/>
      <c r="R5" s="10">
        <v>21471046</v>
      </c>
      <c r="S5" s="9">
        <v>21471046</v>
      </c>
      <c r="T5" s="9">
        <v>26450369.299999997</v>
      </c>
    </row>
    <row r="6" spans="1:20" x14ac:dyDescent="0.35">
      <c r="A6" s="35" t="s">
        <v>11</v>
      </c>
      <c r="B6" s="4" t="s">
        <v>116</v>
      </c>
      <c r="C6" s="10"/>
      <c r="D6" s="10">
        <v>616.07000000000005</v>
      </c>
      <c r="E6" s="10">
        <v>27779.38</v>
      </c>
      <c r="F6" s="10">
        <v>1128436.0389</v>
      </c>
      <c r="G6" s="10">
        <v>358880.52889999998</v>
      </c>
      <c r="H6" s="10">
        <v>2637153.5789000001</v>
      </c>
      <c r="I6" s="10">
        <v>181153.57889999999</v>
      </c>
      <c r="J6" s="10">
        <v>181153.57889999999</v>
      </c>
      <c r="K6" s="10">
        <v>11352655.5789</v>
      </c>
      <c r="L6" s="10">
        <v>352655.57889999996</v>
      </c>
      <c r="M6" s="10">
        <v>352655.57889999996</v>
      </c>
      <c r="N6" s="10">
        <v>5037260.5789000001</v>
      </c>
      <c r="O6" s="9">
        <v>21610400.070100002</v>
      </c>
      <c r="P6" s="10"/>
      <c r="Q6" s="10"/>
      <c r="R6" s="10">
        <v>1752000</v>
      </c>
      <c r="S6" s="9">
        <v>1752000</v>
      </c>
      <c r="T6" s="9">
        <v>23362400.070100002</v>
      </c>
    </row>
    <row r="7" spans="1:20" x14ac:dyDescent="0.35">
      <c r="A7" s="35" t="s">
        <v>11</v>
      </c>
      <c r="B7" s="4" t="s">
        <v>16</v>
      </c>
      <c r="C7" s="10"/>
      <c r="D7" s="10"/>
      <c r="E7" s="10"/>
      <c r="F7" s="10"/>
      <c r="G7" s="10"/>
      <c r="H7" s="10"/>
      <c r="I7" s="10"/>
      <c r="J7" s="10"/>
      <c r="K7" s="10">
        <v>0</v>
      </c>
      <c r="L7" s="10"/>
      <c r="M7" s="10"/>
      <c r="N7" s="10">
        <v>0</v>
      </c>
      <c r="O7" s="9">
        <v>0</v>
      </c>
      <c r="P7" s="10">
        <v>137053</v>
      </c>
      <c r="Q7" s="10">
        <v>928000</v>
      </c>
      <c r="R7" s="10">
        <v>18614347.32</v>
      </c>
      <c r="S7" s="9">
        <v>19679400.32</v>
      </c>
      <c r="T7" s="9">
        <v>19679400.32</v>
      </c>
    </row>
    <row r="8" spans="1:20" x14ac:dyDescent="0.35">
      <c r="A8" s="35" t="s">
        <v>11</v>
      </c>
      <c r="B8" s="4" t="s">
        <v>20</v>
      </c>
      <c r="C8" s="10"/>
      <c r="D8" s="10"/>
      <c r="E8" s="10">
        <v>0</v>
      </c>
      <c r="F8" s="10">
        <v>0</v>
      </c>
      <c r="G8" s="10">
        <v>0</v>
      </c>
      <c r="H8" s="10">
        <v>1090938</v>
      </c>
      <c r="I8" s="10">
        <v>407664</v>
      </c>
      <c r="J8" s="10">
        <v>407664</v>
      </c>
      <c r="K8" s="10">
        <v>1954664</v>
      </c>
      <c r="L8" s="10">
        <v>91190</v>
      </c>
      <c r="M8" s="10">
        <v>91190</v>
      </c>
      <c r="N8" s="10">
        <v>1591190</v>
      </c>
      <c r="O8" s="9">
        <v>5634500</v>
      </c>
      <c r="P8" s="10"/>
      <c r="Q8" s="10"/>
      <c r="R8" s="10">
        <v>9491900</v>
      </c>
      <c r="S8" s="9">
        <v>9491900</v>
      </c>
      <c r="T8" s="9">
        <v>15126400</v>
      </c>
    </row>
    <row r="9" spans="1:20" x14ac:dyDescent="0.35">
      <c r="A9" s="35" t="s">
        <v>11</v>
      </c>
      <c r="B9" s="4" t="s">
        <v>22</v>
      </c>
      <c r="C9" s="10"/>
      <c r="D9" s="10"/>
      <c r="E9" s="10">
        <v>49894.98</v>
      </c>
      <c r="F9" s="10">
        <v>0</v>
      </c>
      <c r="G9" s="10">
        <v>0</v>
      </c>
      <c r="H9" s="10">
        <v>1055710.3174999999</v>
      </c>
      <c r="I9" s="10">
        <v>121710.3175</v>
      </c>
      <c r="J9" s="10">
        <v>4039242.3174999999</v>
      </c>
      <c r="K9" s="10">
        <v>185642.3175</v>
      </c>
      <c r="L9" s="10">
        <v>63932</v>
      </c>
      <c r="M9" s="10">
        <v>63932</v>
      </c>
      <c r="N9" s="10">
        <v>1900536</v>
      </c>
      <c r="O9" s="9">
        <v>7480600.25</v>
      </c>
      <c r="P9" s="10"/>
      <c r="Q9" s="10"/>
      <c r="R9" s="10">
        <v>3585800</v>
      </c>
      <c r="S9" s="9">
        <v>3585800</v>
      </c>
      <c r="T9" s="9">
        <v>11066400.25</v>
      </c>
    </row>
    <row r="10" spans="1:20" x14ac:dyDescent="0.35">
      <c r="A10" s="35" t="s">
        <v>11</v>
      </c>
      <c r="B10" s="4" t="s">
        <v>30</v>
      </c>
      <c r="C10" s="10"/>
      <c r="D10" s="10"/>
      <c r="E10" s="10">
        <v>0</v>
      </c>
      <c r="F10" s="10">
        <v>74658.42</v>
      </c>
      <c r="G10" s="10">
        <v>74658.42</v>
      </c>
      <c r="H10" s="10">
        <v>74658.42</v>
      </c>
      <c r="I10" s="10">
        <v>0</v>
      </c>
      <c r="J10" s="10">
        <v>0</v>
      </c>
      <c r="K10" s="10">
        <v>74658.42</v>
      </c>
      <c r="L10" s="10">
        <v>74658.42</v>
      </c>
      <c r="M10" s="10">
        <v>2808708</v>
      </c>
      <c r="N10" s="10">
        <v>0</v>
      </c>
      <c r="O10" s="9">
        <v>3182000.1</v>
      </c>
      <c r="P10" s="10"/>
      <c r="Q10" s="10"/>
      <c r="R10" s="10">
        <v>5639800</v>
      </c>
      <c r="S10" s="9">
        <v>5639800</v>
      </c>
      <c r="T10" s="9">
        <v>8821800.0999999996</v>
      </c>
    </row>
    <row r="11" spans="1:20" x14ac:dyDescent="0.35">
      <c r="A11" s="35" t="s">
        <v>11</v>
      </c>
      <c r="B11" s="4" t="s">
        <v>21</v>
      </c>
      <c r="C11" s="10">
        <v>63588.35</v>
      </c>
      <c r="D11" s="10">
        <v>294259.25</v>
      </c>
      <c r="E11" s="10">
        <v>386189.75</v>
      </c>
      <c r="F11" s="10">
        <v>86203.93</v>
      </c>
      <c r="G11" s="10">
        <v>55561.83</v>
      </c>
      <c r="H11" s="10">
        <v>97266</v>
      </c>
      <c r="I11" s="10"/>
      <c r="J11" s="10">
        <v>273818</v>
      </c>
      <c r="K11" s="10"/>
      <c r="L11" s="10"/>
      <c r="M11" s="10"/>
      <c r="N11" s="10"/>
      <c r="O11" s="9">
        <v>1256887.1099999999</v>
      </c>
      <c r="P11" s="10"/>
      <c r="Q11" s="10"/>
      <c r="R11" s="10">
        <v>5472559.4900000002</v>
      </c>
      <c r="S11" s="9">
        <v>5472559.4900000002</v>
      </c>
      <c r="T11" s="9">
        <v>6729446.5999999996</v>
      </c>
    </row>
    <row r="12" spans="1:20" x14ac:dyDescent="0.35">
      <c r="A12" s="35" t="s">
        <v>11</v>
      </c>
      <c r="B12" s="4" t="s">
        <v>67</v>
      </c>
      <c r="C12" s="10"/>
      <c r="D12" s="10"/>
      <c r="E12" s="10">
        <v>362006.97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27000</v>
      </c>
      <c r="N12" s="10">
        <v>27000</v>
      </c>
      <c r="O12" s="9">
        <v>416006.97</v>
      </c>
      <c r="P12" s="10"/>
      <c r="Q12" s="10"/>
      <c r="R12" s="10">
        <v>6195993.0300000003</v>
      </c>
      <c r="S12" s="9">
        <v>6195993.0300000003</v>
      </c>
      <c r="T12" s="9">
        <v>6612000</v>
      </c>
    </row>
    <row r="13" spans="1:20" x14ac:dyDescent="0.35">
      <c r="A13" s="35" t="s">
        <v>11</v>
      </c>
      <c r="B13" s="4" t="s">
        <v>104</v>
      </c>
      <c r="C13" s="10">
        <v>1927353.99</v>
      </c>
      <c r="D13" s="10">
        <v>184953.12</v>
      </c>
      <c r="E13" s="10">
        <v>271282.96000000002</v>
      </c>
      <c r="F13" s="10">
        <v>799614.21</v>
      </c>
      <c r="G13" s="10">
        <v>230067</v>
      </c>
      <c r="H13" s="10">
        <v>0</v>
      </c>
      <c r="I13" s="10"/>
      <c r="J13" s="10">
        <v>330000</v>
      </c>
      <c r="K13" s="10">
        <v>0</v>
      </c>
      <c r="L13" s="10"/>
      <c r="M13" s="10"/>
      <c r="N13" s="10">
        <v>987461</v>
      </c>
      <c r="O13" s="9">
        <v>4730732.2799999993</v>
      </c>
      <c r="P13" s="10"/>
      <c r="Q13" s="10"/>
      <c r="R13" s="10"/>
      <c r="S13" s="9"/>
      <c r="T13" s="9">
        <v>4730732.2799999993</v>
      </c>
    </row>
    <row r="14" spans="1:20" x14ac:dyDescent="0.35">
      <c r="A14" s="35" t="s">
        <v>11</v>
      </c>
      <c r="B14" s="4" t="s">
        <v>68</v>
      </c>
      <c r="C14" s="10"/>
      <c r="D14" s="10"/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191790</v>
      </c>
      <c r="K14" s="10">
        <v>191790</v>
      </c>
      <c r="L14" s="10">
        <v>0</v>
      </c>
      <c r="M14" s="10">
        <v>1747420</v>
      </c>
      <c r="N14" s="10">
        <v>0</v>
      </c>
      <c r="O14" s="9">
        <v>2131000</v>
      </c>
      <c r="P14" s="10"/>
      <c r="Q14" s="10"/>
      <c r="R14" s="10">
        <v>2219000</v>
      </c>
      <c r="S14" s="9">
        <v>2219000</v>
      </c>
      <c r="T14" s="9">
        <v>4350000</v>
      </c>
    </row>
    <row r="15" spans="1:20" x14ac:dyDescent="0.35">
      <c r="A15" s="35" t="s">
        <v>11</v>
      </c>
      <c r="B15" s="4" t="s">
        <v>111</v>
      </c>
      <c r="C15" s="10">
        <v>0</v>
      </c>
      <c r="D15" s="10">
        <v>0</v>
      </c>
      <c r="E15" s="10"/>
      <c r="F15" s="10"/>
      <c r="G15" s="10"/>
      <c r="H15" s="10">
        <v>500282</v>
      </c>
      <c r="I15" s="10"/>
      <c r="J15" s="10">
        <v>1113000</v>
      </c>
      <c r="K15" s="10">
        <v>0</v>
      </c>
      <c r="L15" s="10"/>
      <c r="M15" s="10">
        <v>2044000</v>
      </c>
      <c r="N15" s="10"/>
      <c r="O15" s="9">
        <v>3657282</v>
      </c>
      <c r="P15" s="10"/>
      <c r="Q15" s="10"/>
      <c r="R15" s="10"/>
      <c r="S15" s="9"/>
      <c r="T15" s="9">
        <v>3657282</v>
      </c>
    </row>
    <row r="16" spans="1:20" x14ac:dyDescent="0.35">
      <c r="A16" s="35" t="s">
        <v>11</v>
      </c>
      <c r="B16" s="4" t="s">
        <v>45</v>
      </c>
      <c r="C16" s="10">
        <v>514606.7</v>
      </c>
      <c r="D16" s="10">
        <v>20276.48</v>
      </c>
      <c r="E16" s="10">
        <v>14043.59</v>
      </c>
      <c r="F16" s="10">
        <v>28724.19</v>
      </c>
      <c r="G16" s="10">
        <v>9005</v>
      </c>
      <c r="H16" s="10">
        <v>1512271</v>
      </c>
      <c r="I16" s="10">
        <v>0</v>
      </c>
      <c r="J16" s="10">
        <v>1019835</v>
      </c>
      <c r="K16" s="10"/>
      <c r="L16" s="10"/>
      <c r="M16" s="10"/>
      <c r="N16" s="10"/>
      <c r="O16" s="9">
        <v>3118761.96</v>
      </c>
      <c r="P16" s="10"/>
      <c r="Q16" s="10"/>
      <c r="R16" s="10"/>
      <c r="S16" s="9"/>
      <c r="T16" s="9">
        <v>3118761.96</v>
      </c>
    </row>
    <row r="17" spans="1:20" x14ac:dyDescent="0.35">
      <c r="A17" s="35" t="s">
        <v>11</v>
      </c>
      <c r="B17" s="4" t="s">
        <v>69</v>
      </c>
      <c r="C17" s="10"/>
      <c r="D17" s="10"/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91350</v>
      </c>
      <c r="M17" s="10">
        <v>1757350</v>
      </c>
      <c r="N17" s="10">
        <v>91350</v>
      </c>
      <c r="O17" s="9">
        <v>1940050</v>
      </c>
      <c r="P17" s="10"/>
      <c r="Q17" s="10"/>
      <c r="R17" s="10">
        <v>1104950</v>
      </c>
      <c r="S17" s="9">
        <v>1104950</v>
      </c>
      <c r="T17" s="9">
        <v>3045000</v>
      </c>
    </row>
    <row r="18" spans="1:20" x14ac:dyDescent="0.35">
      <c r="A18" s="35" t="s">
        <v>11</v>
      </c>
      <c r="B18" s="4" t="s">
        <v>23</v>
      </c>
      <c r="C18" s="10">
        <v>983453.71</v>
      </c>
      <c r="D18" s="10">
        <v>863083.44</v>
      </c>
      <c r="E18" s="10">
        <v>104607.74</v>
      </c>
      <c r="F18" s="10">
        <v>42993.793299999998</v>
      </c>
      <c r="G18" s="10">
        <v>91256.043300000005</v>
      </c>
      <c r="H18" s="10">
        <v>39210.8033</v>
      </c>
      <c r="I18" s="10"/>
      <c r="J18" s="10">
        <v>52713</v>
      </c>
      <c r="K18" s="10">
        <v>0</v>
      </c>
      <c r="L18" s="10">
        <v>467025</v>
      </c>
      <c r="M18" s="10"/>
      <c r="N18" s="10"/>
      <c r="O18" s="9">
        <v>2644343.5299</v>
      </c>
      <c r="P18" s="10"/>
      <c r="Q18" s="10"/>
      <c r="R18" s="10"/>
      <c r="S18" s="9"/>
      <c r="T18" s="9">
        <v>2644343.5299</v>
      </c>
    </row>
    <row r="19" spans="1:20" x14ac:dyDescent="0.35">
      <c r="A19" s="35" t="s">
        <v>11</v>
      </c>
      <c r="B19" s="4" t="s">
        <v>41</v>
      </c>
      <c r="C19" s="10">
        <v>6251</v>
      </c>
      <c r="D19" s="10">
        <v>106837.5</v>
      </c>
      <c r="E19" s="10">
        <v>36926.410000000003</v>
      </c>
      <c r="F19" s="10">
        <v>74483.266700000007</v>
      </c>
      <c r="G19" s="10">
        <v>33627.136700000003</v>
      </c>
      <c r="H19" s="10">
        <v>2119531.4667000002</v>
      </c>
      <c r="I19" s="10"/>
      <c r="J19" s="10"/>
      <c r="K19" s="10">
        <v>224620</v>
      </c>
      <c r="L19" s="10"/>
      <c r="M19" s="10"/>
      <c r="N19" s="10"/>
      <c r="O19" s="9">
        <v>2602276.7801000001</v>
      </c>
      <c r="P19" s="10"/>
      <c r="Q19" s="10"/>
      <c r="R19" s="10"/>
      <c r="S19" s="9"/>
      <c r="T19" s="9">
        <v>2602276.7801000001</v>
      </c>
    </row>
    <row r="20" spans="1:20" x14ac:dyDescent="0.35">
      <c r="A20" s="35" t="s">
        <v>11</v>
      </c>
      <c r="B20" s="4" t="s">
        <v>106</v>
      </c>
      <c r="C20" s="10">
        <v>98388.85</v>
      </c>
      <c r="D20" s="10">
        <v>1585.36</v>
      </c>
      <c r="E20" s="10">
        <v>21661</v>
      </c>
      <c r="F20" s="10">
        <v>3766.4</v>
      </c>
      <c r="G20" s="10">
        <v>3506.51</v>
      </c>
      <c r="H20" s="10">
        <v>0</v>
      </c>
      <c r="I20" s="10"/>
      <c r="J20" s="10">
        <v>1224188</v>
      </c>
      <c r="K20" s="10">
        <v>0</v>
      </c>
      <c r="L20" s="10"/>
      <c r="M20" s="10">
        <v>993601</v>
      </c>
      <c r="N20" s="10"/>
      <c r="O20" s="9">
        <v>2346697.12</v>
      </c>
      <c r="P20" s="10"/>
      <c r="Q20" s="10"/>
      <c r="R20" s="10"/>
      <c r="S20" s="9"/>
      <c r="T20" s="9">
        <v>2346697.12</v>
      </c>
    </row>
    <row r="21" spans="1:20" x14ac:dyDescent="0.35">
      <c r="A21" s="35" t="s">
        <v>11</v>
      </c>
      <c r="B21" s="4" t="s">
        <v>31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9"/>
      <c r="P21" s="10"/>
      <c r="Q21" s="10"/>
      <c r="R21" s="10">
        <v>2215600</v>
      </c>
      <c r="S21" s="9">
        <v>2215600</v>
      </c>
      <c r="T21" s="9">
        <v>2215600</v>
      </c>
    </row>
    <row r="22" spans="1:20" x14ac:dyDescent="0.35">
      <c r="A22" s="35" t="s">
        <v>11</v>
      </c>
      <c r="B22" s="4" t="s">
        <v>48</v>
      </c>
      <c r="C22" s="10"/>
      <c r="D22" s="10"/>
      <c r="E22" s="10">
        <v>103.83</v>
      </c>
      <c r="F22" s="10">
        <v>0</v>
      </c>
      <c r="G22" s="10">
        <v>0</v>
      </c>
      <c r="H22" s="10">
        <v>0</v>
      </c>
      <c r="I22" s="10">
        <v>99702</v>
      </c>
      <c r="J22" s="10">
        <v>99702</v>
      </c>
      <c r="K22" s="10">
        <v>1816688</v>
      </c>
      <c r="L22" s="10">
        <v>99702</v>
      </c>
      <c r="M22" s="10">
        <v>99702</v>
      </c>
      <c r="N22" s="10">
        <v>0</v>
      </c>
      <c r="O22" s="9">
        <v>2215599.83</v>
      </c>
      <c r="P22" s="10"/>
      <c r="Q22" s="10"/>
      <c r="R22" s="10"/>
      <c r="S22" s="9"/>
      <c r="T22" s="9">
        <v>2215599.83</v>
      </c>
    </row>
    <row r="23" spans="1:20" x14ac:dyDescent="0.35">
      <c r="A23" s="35" t="s">
        <v>11</v>
      </c>
      <c r="B23" s="4" t="s">
        <v>32</v>
      </c>
      <c r="C23" s="10"/>
      <c r="D23" s="10"/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84303</v>
      </c>
      <c r="K23" s="10">
        <v>84303</v>
      </c>
      <c r="L23" s="10">
        <v>0</v>
      </c>
      <c r="M23" s="10">
        <v>0</v>
      </c>
      <c r="N23" s="10">
        <v>0</v>
      </c>
      <c r="O23" s="9">
        <v>168606</v>
      </c>
      <c r="P23" s="10"/>
      <c r="Q23" s="10">
        <v>768094</v>
      </c>
      <c r="R23" s="10">
        <v>936700</v>
      </c>
      <c r="S23" s="9">
        <v>1704794</v>
      </c>
      <c r="T23" s="9">
        <v>1873400</v>
      </c>
    </row>
    <row r="24" spans="1:20" x14ac:dyDescent="0.35">
      <c r="A24" s="35" t="s">
        <v>11</v>
      </c>
      <c r="B24" s="4" t="s">
        <v>82</v>
      </c>
      <c r="C24" s="10">
        <v>91879.63</v>
      </c>
      <c r="D24" s="10">
        <v>48453.75</v>
      </c>
      <c r="E24" s="10">
        <v>1718.28</v>
      </c>
      <c r="F24" s="10"/>
      <c r="G24" s="10"/>
      <c r="H24" s="10"/>
      <c r="I24" s="10"/>
      <c r="J24" s="10"/>
      <c r="K24" s="10"/>
      <c r="L24" s="10"/>
      <c r="M24" s="10"/>
      <c r="N24" s="10">
        <v>1559792.18</v>
      </c>
      <c r="O24" s="9">
        <v>1701843.8399999999</v>
      </c>
      <c r="P24" s="10"/>
      <c r="Q24" s="10"/>
      <c r="R24" s="10"/>
      <c r="S24" s="9"/>
      <c r="T24" s="9">
        <v>1701843.8399999999</v>
      </c>
    </row>
    <row r="25" spans="1:20" x14ac:dyDescent="0.35">
      <c r="A25" s="35" t="s">
        <v>11</v>
      </c>
      <c r="B25" s="4" t="s">
        <v>131</v>
      </c>
      <c r="C25" s="10">
        <v>383845.08</v>
      </c>
      <c r="D25" s="10">
        <v>231044.39</v>
      </c>
      <c r="E25" s="10">
        <v>42708.229999999996</v>
      </c>
      <c r="F25" s="10">
        <v>738806.49399999995</v>
      </c>
      <c r="G25" s="10">
        <v>68490.963999999993</v>
      </c>
      <c r="H25" s="10">
        <v>38185.993999999999</v>
      </c>
      <c r="I25" s="10">
        <v>74333.994000000006</v>
      </c>
      <c r="J25" s="10">
        <v>38185.993999999999</v>
      </c>
      <c r="K25" s="10"/>
      <c r="L25" s="10"/>
      <c r="M25" s="10"/>
      <c r="N25" s="10"/>
      <c r="O25" s="9">
        <v>1615601.14</v>
      </c>
      <c r="P25" s="10"/>
      <c r="Q25" s="10"/>
      <c r="R25" s="10"/>
      <c r="S25" s="9"/>
      <c r="T25" s="9">
        <v>1615601.14</v>
      </c>
    </row>
    <row r="26" spans="1:20" x14ac:dyDescent="0.35">
      <c r="A26" s="35" t="s">
        <v>11</v>
      </c>
      <c r="B26" s="4" t="s">
        <v>93</v>
      </c>
      <c r="C26" s="10"/>
      <c r="D26" s="10"/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6950</v>
      </c>
      <c r="N26" s="10">
        <v>96050.5</v>
      </c>
      <c r="O26" s="9">
        <v>103000.5</v>
      </c>
      <c r="P26" s="10">
        <v>89100</v>
      </c>
      <c r="Q26" s="10"/>
      <c r="R26" s="10">
        <v>1190954</v>
      </c>
      <c r="S26" s="9">
        <v>1280054</v>
      </c>
      <c r="T26" s="9">
        <v>1383054.5</v>
      </c>
    </row>
    <row r="27" spans="1:20" x14ac:dyDescent="0.35">
      <c r="A27" s="35" t="s">
        <v>11</v>
      </c>
      <c r="B27" s="4" t="s">
        <v>129</v>
      </c>
      <c r="C27" s="10"/>
      <c r="D27" s="10"/>
      <c r="E27" s="10"/>
      <c r="F27" s="10"/>
      <c r="G27" s="10"/>
      <c r="H27" s="10"/>
      <c r="I27" s="10"/>
      <c r="J27" s="10"/>
      <c r="K27" s="10">
        <v>846896</v>
      </c>
      <c r="L27" s="10">
        <v>423104</v>
      </c>
      <c r="M27" s="10"/>
      <c r="N27" s="10"/>
      <c r="O27" s="9">
        <v>1270000</v>
      </c>
      <c r="P27" s="10"/>
      <c r="Q27" s="10"/>
      <c r="R27" s="10"/>
      <c r="S27" s="9"/>
      <c r="T27" s="9">
        <v>1270000</v>
      </c>
    </row>
    <row r="28" spans="1:20" x14ac:dyDescent="0.35">
      <c r="A28" s="35" t="s">
        <v>11</v>
      </c>
      <c r="B28" s="4" t="s">
        <v>103</v>
      </c>
      <c r="C28" s="10">
        <v>5081.38</v>
      </c>
      <c r="D28" s="10">
        <v>0</v>
      </c>
      <c r="E28" s="10">
        <v>0</v>
      </c>
      <c r="F28" s="10">
        <v>24480</v>
      </c>
      <c r="G28" s="10">
        <v>552908.56000000006</v>
      </c>
      <c r="H28" s="10">
        <v>0</v>
      </c>
      <c r="I28" s="10"/>
      <c r="J28" s="10">
        <v>375611</v>
      </c>
      <c r="K28" s="10">
        <v>0</v>
      </c>
      <c r="L28" s="10"/>
      <c r="M28" s="10">
        <v>194982</v>
      </c>
      <c r="N28" s="10"/>
      <c r="O28" s="9">
        <v>1153062.94</v>
      </c>
      <c r="P28" s="10"/>
      <c r="Q28" s="10"/>
      <c r="R28" s="10"/>
      <c r="S28" s="9"/>
      <c r="T28" s="9">
        <v>1153062.94</v>
      </c>
    </row>
    <row r="29" spans="1:20" x14ac:dyDescent="0.35">
      <c r="A29" s="35" t="s">
        <v>11</v>
      </c>
      <c r="B29" s="4" t="s">
        <v>71</v>
      </c>
      <c r="C29" s="10">
        <v>0</v>
      </c>
      <c r="D29" s="10"/>
      <c r="E29" s="10">
        <v>0</v>
      </c>
      <c r="F29" s="10">
        <v>0</v>
      </c>
      <c r="G29" s="10">
        <v>0</v>
      </c>
      <c r="H29" s="10">
        <v>0</v>
      </c>
      <c r="I29" s="10">
        <v>33234</v>
      </c>
      <c r="J29" s="10">
        <v>33234</v>
      </c>
      <c r="K29" s="10">
        <v>487432</v>
      </c>
      <c r="L29" s="10">
        <v>0</v>
      </c>
      <c r="M29" s="10">
        <v>0</v>
      </c>
      <c r="N29" s="10">
        <v>0</v>
      </c>
      <c r="O29" s="9">
        <v>553900</v>
      </c>
      <c r="P29" s="10"/>
      <c r="Q29" s="10"/>
      <c r="R29" s="10">
        <v>553900</v>
      </c>
      <c r="S29" s="9">
        <v>553900</v>
      </c>
      <c r="T29" s="9">
        <v>1107800</v>
      </c>
    </row>
    <row r="30" spans="1:20" x14ac:dyDescent="0.35">
      <c r="A30" s="35" t="s">
        <v>11</v>
      </c>
      <c r="B30" s="4" t="s">
        <v>72</v>
      </c>
      <c r="C30" s="10">
        <v>0</v>
      </c>
      <c r="D30" s="10"/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504049</v>
      </c>
      <c r="L30" s="10">
        <v>49851</v>
      </c>
      <c r="M30" s="10">
        <v>0</v>
      </c>
      <c r="N30" s="10">
        <v>0</v>
      </c>
      <c r="O30" s="9">
        <v>553900</v>
      </c>
      <c r="P30" s="10"/>
      <c r="Q30" s="10"/>
      <c r="R30" s="10">
        <v>553900</v>
      </c>
      <c r="S30" s="9">
        <v>553900</v>
      </c>
      <c r="T30" s="9">
        <v>1107800</v>
      </c>
    </row>
    <row r="31" spans="1:20" x14ac:dyDescent="0.35">
      <c r="A31" s="35" t="s">
        <v>11</v>
      </c>
      <c r="B31" s="4" t="s">
        <v>84</v>
      </c>
      <c r="C31" s="10">
        <v>0</v>
      </c>
      <c r="D31" s="10"/>
      <c r="E31" s="10">
        <v>0</v>
      </c>
      <c r="F31" s="10">
        <v>0</v>
      </c>
      <c r="G31" s="10">
        <v>0</v>
      </c>
      <c r="H31" s="10">
        <v>99702</v>
      </c>
      <c r="I31" s="10">
        <v>99702</v>
      </c>
      <c r="J31" s="10">
        <v>0</v>
      </c>
      <c r="K31" s="10">
        <v>0</v>
      </c>
      <c r="L31" s="10">
        <v>0</v>
      </c>
      <c r="M31" s="10">
        <v>908396</v>
      </c>
      <c r="N31" s="10">
        <v>0</v>
      </c>
      <c r="O31" s="9">
        <v>1107800</v>
      </c>
      <c r="P31" s="10"/>
      <c r="Q31" s="10"/>
      <c r="R31" s="10"/>
      <c r="S31" s="9"/>
      <c r="T31" s="9">
        <v>1107800</v>
      </c>
    </row>
    <row r="32" spans="1:20" x14ac:dyDescent="0.35">
      <c r="A32" s="35" t="s">
        <v>11</v>
      </c>
      <c r="B32" s="4" t="s">
        <v>73</v>
      </c>
      <c r="C32" s="10"/>
      <c r="D32" s="10"/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464464</v>
      </c>
      <c r="N32" s="10">
        <v>45936</v>
      </c>
      <c r="O32" s="9">
        <v>510400</v>
      </c>
      <c r="P32" s="10"/>
      <c r="Q32" s="10"/>
      <c r="R32" s="10">
        <v>510400</v>
      </c>
      <c r="S32" s="9">
        <v>510400</v>
      </c>
      <c r="T32" s="9">
        <v>1020800</v>
      </c>
    </row>
    <row r="33" spans="1:20" x14ac:dyDescent="0.35">
      <c r="A33" s="35" t="s">
        <v>11</v>
      </c>
      <c r="B33" s="4" t="s">
        <v>39</v>
      </c>
      <c r="C33" s="10">
        <v>182152.75</v>
      </c>
      <c r="D33" s="10">
        <v>330891.32</v>
      </c>
      <c r="E33" s="10">
        <v>184398.32</v>
      </c>
      <c r="F33" s="10">
        <v>193080</v>
      </c>
      <c r="G33" s="10">
        <v>24625.43</v>
      </c>
      <c r="H33" s="10">
        <v>74773</v>
      </c>
      <c r="I33" s="10">
        <v>13999.4</v>
      </c>
      <c r="J33" s="10">
        <v>13999.4</v>
      </c>
      <c r="K33" s="10"/>
      <c r="L33" s="10"/>
      <c r="M33" s="10"/>
      <c r="N33" s="10"/>
      <c r="O33" s="9">
        <v>1017919.6200000001</v>
      </c>
      <c r="P33" s="10"/>
      <c r="Q33" s="10"/>
      <c r="R33" s="10"/>
      <c r="S33" s="9"/>
      <c r="T33" s="9">
        <v>1017919.6200000001</v>
      </c>
    </row>
    <row r="34" spans="1:20" x14ac:dyDescent="0.35">
      <c r="A34" s="35" t="s">
        <v>11</v>
      </c>
      <c r="B34" s="4" t="s">
        <v>78</v>
      </c>
      <c r="C34" s="10"/>
      <c r="D34" s="10"/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800000</v>
      </c>
      <c r="L34" s="10">
        <v>91350</v>
      </c>
      <c r="M34" s="10">
        <v>123650</v>
      </c>
      <c r="N34" s="10">
        <v>0</v>
      </c>
      <c r="O34" s="9">
        <v>1015000</v>
      </c>
      <c r="P34" s="10"/>
      <c r="Q34" s="10"/>
      <c r="R34" s="10"/>
      <c r="S34" s="9"/>
      <c r="T34" s="9">
        <v>1015000</v>
      </c>
    </row>
    <row r="35" spans="1:20" x14ac:dyDescent="0.35">
      <c r="A35" s="35" t="s">
        <v>11</v>
      </c>
      <c r="B35" s="4" t="s">
        <v>33</v>
      </c>
      <c r="C35" s="10">
        <v>0</v>
      </c>
      <c r="D35" s="10">
        <v>0</v>
      </c>
      <c r="E35" s="10">
        <v>0</v>
      </c>
      <c r="F35" s="10">
        <v>14119</v>
      </c>
      <c r="G35" s="10">
        <v>0</v>
      </c>
      <c r="H35" s="10"/>
      <c r="I35" s="10"/>
      <c r="J35" s="10"/>
      <c r="K35" s="10"/>
      <c r="L35" s="10"/>
      <c r="M35" s="10">
        <v>0</v>
      </c>
      <c r="N35" s="10"/>
      <c r="O35" s="9">
        <v>14119</v>
      </c>
      <c r="P35" s="10">
        <v>956787</v>
      </c>
      <c r="Q35" s="10"/>
      <c r="R35" s="10"/>
      <c r="S35" s="9">
        <v>956787</v>
      </c>
      <c r="T35" s="9">
        <v>970906</v>
      </c>
    </row>
    <row r="36" spans="1:20" x14ac:dyDescent="0.35">
      <c r="A36" s="35" t="s">
        <v>11</v>
      </c>
      <c r="B36" s="4" t="s">
        <v>44</v>
      </c>
      <c r="C36" s="10">
        <v>0</v>
      </c>
      <c r="D36" s="10">
        <v>0</v>
      </c>
      <c r="E36" s="10">
        <v>0</v>
      </c>
      <c r="F36" s="10">
        <v>26705.01</v>
      </c>
      <c r="G36" s="10">
        <v>9356.32</v>
      </c>
      <c r="H36" s="10">
        <v>9356.32</v>
      </c>
      <c r="I36" s="10">
        <v>0</v>
      </c>
      <c r="J36" s="10"/>
      <c r="K36" s="10">
        <v>700000</v>
      </c>
      <c r="L36" s="10"/>
      <c r="M36" s="10">
        <v>206987</v>
      </c>
      <c r="N36" s="10"/>
      <c r="O36" s="9">
        <v>952404.65</v>
      </c>
      <c r="P36" s="10"/>
      <c r="Q36" s="10"/>
      <c r="R36" s="10"/>
      <c r="S36" s="9"/>
      <c r="T36" s="9">
        <v>952404.65</v>
      </c>
    </row>
    <row r="37" spans="1:20" x14ac:dyDescent="0.35">
      <c r="A37" s="35" t="s">
        <v>11</v>
      </c>
      <c r="B37" s="4" t="s">
        <v>99</v>
      </c>
      <c r="C37" s="10"/>
      <c r="D37" s="10"/>
      <c r="E37" s="10">
        <v>0</v>
      </c>
      <c r="F37" s="10">
        <v>0</v>
      </c>
      <c r="G37" s="10">
        <v>0</v>
      </c>
      <c r="H37" s="10">
        <v>121959.66220000001</v>
      </c>
      <c r="I37" s="10">
        <v>0</v>
      </c>
      <c r="J37" s="10">
        <v>0</v>
      </c>
      <c r="K37" s="10">
        <v>239508.03510000001</v>
      </c>
      <c r="L37" s="10">
        <v>0</v>
      </c>
      <c r="M37" s="10">
        <v>60514.5</v>
      </c>
      <c r="N37" s="10">
        <v>93700.802599999995</v>
      </c>
      <c r="O37" s="9">
        <v>515682.9999</v>
      </c>
      <c r="P37" s="10"/>
      <c r="Q37" s="10"/>
      <c r="R37" s="10">
        <v>355683</v>
      </c>
      <c r="S37" s="9">
        <v>355683</v>
      </c>
      <c r="T37" s="9">
        <v>871365.99990000005</v>
      </c>
    </row>
    <row r="38" spans="1:20" x14ac:dyDescent="0.35">
      <c r="A38" s="35" t="s">
        <v>11</v>
      </c>
      <c r="B38" s="4" t="s">
        <v>86</v>
      </c>
      <c r="C38" s="10"/>
      <c r="D38" s="10"/>
      <c r="E38" s="10">
        <v>0</v>
      </c>
      <c r="F38" s="10">
        <v>0</v>
      </c>
      <c r="G38" s="10">
        <v>0</v>
      </c>
      <c r="H38" s="10">
        <v>0</v>
      </c>
      <c r="I38" s="10">
        <v>78300</v>
      </c>
      <c r="J38" s="10">
        <v>78300</v>
      </c>
      <c r="K38" s="10">
        <v>0</v>
      </c>
      <c r="L38" s="10">
        <v>0</v>
      </c>
      <c r="M38" s="10">
        <v>0</v>
      </c>
      <c r="N38" s="10">
        <v>713400</v>
      </c>
      <c r="O38" s="9">
        <v>870000</v>
      </c>
      <c r="P38" s="10"/>
      <c r="Q38" s="10"/>
      <c r="R38" s="10"/>
      <c r="S38" s="9"/>
      <c r="T38" s="9">
        <v>870000</v>
      </c>
    </row>
    <row r="39" spans="1:20" x14ac:dyDescent="0.35">
      <c r="A39" s="35" t="s">
        <v>11</v>
      </c>
      <c r="B39" s="4" t="s">
        <v>75</v>
      </c>
      <c r="C39" s="10"/>
      <c r="D39" s="10"/>
      <c r="E39" s="10">
        <v>0</v>
      </c>
      <c r="F39" s="10">
        <v>0</v>
      </c>
      <c r="G39" s="10">
        <v>38295</v>
      </c>
      <c r="H39" s="10">
        <v>38295</v>
      </c>
      <c r="I39" s="10">
        <v>0</v>
      </c>
      <c r="J39" s="10">
        <v>0</v>
      </c>
      <c r="K39" s="10">
        <v>593000</v>
      </c>
      <c r="L39" s="10">
        <v>0</v>
      </c>
      <c r="M39" s="10">
        <v>104820</v>
      </c>
      <c r="N39" s="10">
        <v>76590</v>
      </c>
      <c r="O39" s="9">
        <v>851000</v>
      </c>
      <c r="P39" s="10"/>
      <c r="Q39" s="10"/>
      <c r="R39" s="10"/>
      <c r="S39" s="9"/>
      <c r="T39" s="9">
        <v>851000</v>
      </c>
    </row>
    <row r="40" spans="1:20" x14ac:dyDescent="0.35">
      <c r="A40" s="35" t="s">
        <v>11</v>
      </c>
      <c r="B40" s="4" t="s">
        <v>70</v>
      </c>
      <c r="C40" s="10"/>
      <c r="D40" s="10">
        <v>17158.3</v>
      </c>
      <c r="E40" s="10">
        <v>0</v>
      </c>
      <c r="F40" s="10">
        <v>0</v>
      </c>
      <c r="G40" s="10">
        <v>0</v>
      </c>
      <c r="H40" s="10">
        <v>4884</v>
      </c>
      <c r="I40" s="10"/>
      <c r="J40" s="10"/>
      <c r="K40" s="10"/>
      <c r="L40" s="10"/>
      <c r="M40" s="10"/>
      <c r="N40" s="10"/>
      <c r="O40" s="9">
        <v>22042.3</v>
      </c>
      <c r="P40" s="10">
        <v>0</v>
      </c>
      <c r="Q40" s="10"/>
      <c r="R40" s="10">
        <v>814835.81</v>
      </c>
      <c r="S40" s="9">
        <v>814835.81</v>
      </c>
      <c r="T40" s="9">
        <v>836878.1100000001</v>
      </c>
    </row>
    <row r="41" spans="1:20" x14ac:dyDescent="0.35">
      <c r="A41" s="35" t="s">
        <v>11</v>
      </c>
      <c r="B41" s="4" t="s">
        <v>95</v>
      </c>
      <c r="C41" s="10"/>
      <c r="D41" s="10"/>
      <c r="E41" s="10">
        <v>0</v>
      </c>
      <c r="F41" s="10">
        <v>61000</v>
      </c>
      <c r="G41" s="10">
        <v>0</v>
      </c>
      <c r="H41" s="10">
        <v>0</v>
      </c>
      <c r="I41" s="10">
        <v>0</v>
      </c>
      <c r="J41" s="10">
        <v>31000</v>
      </c>
      <c r="K41" s="10">
        <v>0</v>
      </c>
      <c r="L41" s="10">
        <v>31000</v>
      </c>
      <c r="M41" s="10">
        <v>0</v>
      </c>
      <c r="N41" s="10">
        <v>9008</v>
      </c>
      <c r="O41" s="9">
        <v>132008</v>
      </c>
      <c r="P41" s="10"/>
      <c r="Q41" s="10"/>
      <c r="R41" s="10">
        <v>697700</v>
      </c>
      <c r="S41" s="9">
        <v>697700</v>
      </c>
      <c r="T41" s="9">
        <v>829708</v>
      </c>
    </row>
    <row r="42" spans="1:20" x14ac:dyDescent="0.35">
      <c r="A42" s="35" t="s">
        <v>11</v>
      </c>
      <c r="B42" s="4" t="s">
        <v>94</v>
      </c>
      <c r="C42" s="10"/>
      <c r="D42" s="10"/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9">
        <v>0</v>
      </c>
      <c r="P42" s="10">
        <v>113992</v>
      </c>
      <c r="Q42" s="10"/>
      <c r="R42" s="10">
        <v>706708</v>
      </c>
      <c r="S42" s="9">
        <v>820700</v>
      </c>
      <c r="T42" s="9">
        <v>820700</v>
      </c>
    </row>
    <row r="43" spans="1:20" x14ac:dyDescent="0.35">
      <c r="A43" s="35" t="s">
        <v>11</v>
      </c>
      <c r="B43" s="4" t="s">
        <v>141</v>
      </c>
      <c r="C43" s="10">
        <v>12867.69</v>
      </c>
      <c r="D43" s="10">
        <v>0</v>
      </c>
      <c r="E43" s="10">
        <v>124475.09</v>
      </c>
      <c r="F43" s="10">
        <v>3723.45</v>
      </c>
      <c r="G43" s="10">
        <v>0</v>
      </c>
      <c r="H43" s="10">
        <v>53000</v>
      </c>
      <c r="I43" s="10"/>
      <c r="J43" s="10"/>
      <c r="K43" s="10">
        <v>359232</v>
      </c>
      <c r="L43" s="10"/>
      <c r="M43" s="10"/>
      <c r="N43" s="10">
        <v>243000</v>
      </c>
      <c r="O43" s="9">
        <v>796298.23</v>
      </c>
      <c r="P43" s="10"/>
      <c r="Q43" s="10"/>
      <c r="R43" s="10"/>
      <c r="S43" s="9"/>
      <c r="T43" s="9">
        <v>796298.23</v>
      </c>
    </row>
    <row r="44" spans="1:20" x14ac:dyDescent="0.35">
      <c r="A44" s="35" t="s">
        <v>11</v>
      </c>
      <c r="B44" s="4" t="s">
        <v>96</v>
      </c>
      <c r="C44" s="10"/>
      <c r="D44" s="10"/>
      <c r="E44" s="10">
        <v>0</v>
      </c>
      <c r="F44" s="10">
        <v>0</v>
      </c>
      <c r="G44" s="10">
        <v>0</v>
      </c>
      <c r="H44" s="10">
        <v>10801.564399999999</v>
      </c>
      <c r="I44" s="10">
        <v>0</v>
      </c>
      <c r="J44" s="10">
        <v>0</v>
      </c>
      <c r="K44" s="10">
        <v>10801.564399999999</v>
      </c>
      <c r="L44" s="10">
        <v>50456.5</v>
      </c>
      <c r="M44" s="10">
        <v>50456.5</v>
      </c>
      <c r="N44" s="10">
        <v>10483.871300000001</v>
      </c>
      <c r="O44" s="9">
        <v>133000.0001</v>
      </c>
      <c r="P44" s="10"/>
      <c r="Q44" s="10"/>
      <c r="R44" s="10">
        <v>593534</v>
      </c>
      <c r="S44" s="9">
        <v>593534</v>
      </c>
      <c r="T44" s="9">
        <v>726534.00010000006</v>
      </c>
    </row>
    <row r="45" spans="1:20" x14ac:dyDescent="0.35">
      <c r="A45" s="35" t="s">
        <v>11</v>
      </c>
      <c r="B45" s="4" t="s">
        <v>98</v>
      </c>
      <c r="C45" s="10"/>
      <c r="D45" s="10"/>
      <c r="E45" s="10">
        <v>0</v>
      </c>
      <c r="F45" s="10">
        <v>0</v>
      </c>
      <c r="G45" s="10">
        <v>0</v>
      </c>
      <c r="H45" s="10">
        <v>49403</v>
      </c>
      <c r="I45" s="10">
        <v>49403</v>
      </c>
      <c r="J45" s="10">
        <v>0</v>
      </c>
      <c r="K45" s="10">
        <v>109282.302</v>
      </c>
      <c r="L45" s="10">
        <v>0</v>
      </c>
      <c r="M45" s="10">
        <v>0</v>
      </c>
      <c r="N45" s="10">
        <v>147594.698</v>
      </c>
      <c r="O45" s="9">
        <v>355683</v>
      </c>
      <c r="P45" s="10"/>
      <c r="Q45" s="10"/>
      <c r="R45" s="10">
        <v>355683.3333</v>
      </c>
      <c r="S45" s="9">
        <v>355683.3333</v>
      </c>
      <c r="T45" s="9">
        <v>711366.33329999994</v>
      </c>
    </row>
    <row r="46" spans="1:20" x14ac:dyDescent="0.35">
      <c r="A46" s="35" t="s">
        <v>11</v>
      </c>
      <c r="B46" s="4" t="s">
        <v>88</v>
      </c>
      <c r="C46" s="10">
        <v>101115.62</v>
      </c>
      <c r="D46" s="10">
        <v>48646.28</v>
      </c>
      <c r="E46" s="10">
        <v>63508.53</v>
      </c>
      <c r="F46" s="10">
        <v>343988.62329999998</v>
      </c>
      <c r="G46" s="10">
        <v>60783.273300000001</v>
      </c>
      <c r="H46" s="10">
        <v>60783.273300000001</v>
      </c>
      <c r="I46" s="10">
        <v>0</v>
      </c>
      <c r="J46" s="10"/>
      <c r="K46" s="10"/>
      <c r="L46" s="10"/>
      <c r="M46" s="10"/>
      <c r="N46" s="10"/>
      <c r="O46" s="9">
        <v>678825.59990000003</v>
      </c>
      <c r="P46" s="10"/>
      <c r="Q46" s="10"/>
      <c r="R46" s="10"/>
      <c r="S46" s="9"/>
      <c r="T46" s="9">
        <v>678825.59990000003</v>
      </c>
    </row>
    <row r="47" spans="1:20" x14ac:dyDescent="0.35">
      <c r="A47" s="35" t="s">
        <v>11</v>
      </c>
      <c r="B47" s="4" t="s">
        <v>60</v>
      </c>
      <c r="C47" s="10">
        <v>0</v>
      </c>
      <c r="D47" s="10">
        <v>0</v>
      </c>
      <c r="E47" s="10"/>
      <c r="F47" s="10"/>
      <c r="G47" s="10"/>
      <c r="H47" s="10"/>
      <c r="I47" s="10">
        <v>635207.94999999995</v>
      </c>
      <c r="J47" s="10"/>
      <c r="K47" s="10"/>
      <c r="L47" s="10"/>
      <c r="M47" s="10"/>
      <c r="N47" s="10"/>
      <c r="O47" s="9">
        <v>635207.94999999995</v>
      </c>
      <c r="P47" s="10"/>
      <c r="Q47" s="10"/>
      <c r="R47" s="10"/>
      <c r="S47" s="9"/>
      <c r="T47" s="9">
        <v>635207.94999999995</v>
      </c>
    </row>
    <row r="48" spans="1:20" x14ac:dyDescent="0.35">
      <c r="A48" s="35" t="s">
        <v>11</v>
      </c>
      <c r="B48" s="4" t="s">
        <v>83</v>
      </c>
      <c r="C48" s="10">
        <v>36205.71</v>
      </c>
      <c r="D48" s="10">
        <v>238748.58</v>
      </c>
      <c r="E48" s="10">
        <v>245406.59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51120</v>
      </c>
      <c r="N48" s="10">
        <v>51120</v>
      </c>
      <c r="O48" s="9">
        <v>622600.88</v>
      </c>
      <c r="P48" s="10"/>
      <c r="Q48" s="10"/>
      <c r="R48" s="10"/>
      <c r="S48" s="9"/>
      <c r="T48" s="9">
        <v>622600.88</v>
      </c>
    </row>
    <row r="49" spans="1:20" x14ac:dyDescent="0.35">
      <c r="A49" s="35" t="s">
        <v>11</v>
      </c>
      <c r="B49" s="4" t="s">
        <v>109</v>
      </c>
      <c r="C49" s="10"/>
      <c r="D49" s="10"/>
      <c r="E49" s="10">
        <v>0</v>
      </c>
      <c r="F49" s="10">
        <v>0</v>
      </c>
      <c r="G49" s="10">
        <v>0</v>
      </c>
      <c r="H49" s="10">
        <v>86110.315499999997</v>
      </c>
      <c r="I49" s="10">
        <v>0</v>
      </c>
      <c r="J49" s="10">
        <v>0</v>
      </c>
      <c r="K49" s="10">
        <v>334893.82630000002</v>
      </c>
      <c r="L49" s="10">
        <v>27480</v>
      </c>
      <c r="M49" s="10">
        <v>27480</v>
      </c>
      <c r="N49" s="10">
        <v>117569.8582</v>
      </c>
      <c r="O49" s="9">
        <v>593534</v>
      </c>
      <c r="P49" s="10"/>
      <c r="Q49" s="10"/>
      <c r="R49" s="10"/>
      <c r="S49" s="9"/>
      <c r="T49" s="9">
        <v>593534</v>
      </c>
    </row>
    <row r="50" spans="1:20" x14ac:dyDescent="0.35">
      <c r="A50" s="35" t="s">
        <v>11</v>
      </c>
      <c r="B50" s="4" t="s">
        <v>128</v>
      </c>
      <c r="C50" s="10">
        <v>0</v>
      </c>
      <c r="D50" s="10">
        <v>0</v>
      </c>
      <c r="E50" s="10">
        <v>0</v>
      </c>
      <c r="F50" s="10">
        <v>52245.14</v>
      </c>
      <c r="G50" s="10">
        <v>10057.51</v>
      </c>
      <c r="H50" s="10">
        <v>225755</v>
      </c>
      <c r="I50" s="10"/>
      <c r="J50" s="10"/>
      <c r="K50" s="10">
        <v>279480</v>
      </c>
      <c r="L50" s="10"/>
      <c r="M50" s="10"/>
      <c r="N50" s="10"/>
      <c r="O50" s="9">
        <v>567537.65</v>
      </c>
      <c r="P50" s="10"/>
      <c r="Q50" s="10"/>
      <c r="R50" s="10"/>
      <c r="S50" s="9"/>
      <c r="T50" s="9">
        <v>567537.65</v>
      </c>
    </row>
    <row r="51" spans="1:20" x14ac:dyDescent="0.35">
      <c r="A51" s="35" t="s">
        <v>11</v>
      </c>
      <c r="B51" s="4" t="s">
        <v>42</v>
      </c>
      <c r="C51" s="10">
        <v>4224.9799999999996</v>
      </c>
      <c r="D51" s="10">
        <v>0</v>
      </c>
      <c r="E51" s="10">
        <v>0</v>
      </c>
      <c r="F51" s="10">
        <v>4713</v>
      </c>
      <c r="G51" s="10">
        <v>8481</v>
      </c>
      <c r="H51" s="10"/>
      <c r="I51" s="10"/>
      <c r="J51" s="10">
        <v>8569</v>
      </c>
      <c r="K51" s="10">
        <v>530659.14</v>
      </c>
      <c r="L51" s="10"/>
      <c r="M51" s="10"/>
      <c r="N51" s="10"/>
      <c r="O51" s="9">
        <v>556647.12</v>
      </c>
      <c r="P51" s="10"/>
      <c r="Q51" s="10"/>
      <c r="R51" s="10"/>
      <c r="S51" s="9"/>
      <c r="T51" s="9">
        <v>556647.12</v>
      </c>
    </row>
    <row r="52" spans="1:20" x14ac:dyDescent="0.35">
      <c r="A52" s="35" t="s">
        <v>11</v>
      </c>
      <c r="B52" s="4" t="s">
        <v>97</v>
      </c>
      <c r="C52" s="10"/>
      <c r="D52" s="10"/>
      <c r="E52" s="10">
        <v>0</v>
      </c>
      <c r="F52" s="10">
        <v>0</v>
      </c>
      <c r="G52" s="10">
        <v>0</v>
      </c>
      <c r="H52" s="10">
        <v>0</v>
      </c>
      <c r="I52" s="10">
        <v>25527.666700000002</v>
      </c>
      <c r="J52" s="10">
        <v>25527.666700000002</v>
      </c>
      <c r="K52" s="10">
        <v>25527.666700000002</v>
      </c>
      <c r="L52" s="10">
        <v>0</v>
      </c>
      <c r="M52" s="10">
        <v>0</v>
      </c>
      <c r="N52" s="10">
        <v>119051</v>
      </c>
      <c r="O52" s="9">
        <v>195634.0001</v>
      </c>
      <c r="P52" s="10"/>
      <c r="Q52" s="10"/>
      <c r="R52" s="10">
        <v>355732</v>
      </c>
      <c r="S52" s="9">
        <v>355732</v>
      </c>
      <c r="T52" s="9">
        <v>551366.00010000006</v>
      </c>
    </row>
    <row r="53" spans="1:20" x14ac:dyDescent="0.35">
      <c r="A53" s="35" t="s">
        <v>11</v>
      </c>
      <c r="B53" s="4" t="s">
        <v>58</v>
      </c>
      <c r="C53" s="10"/>
      <c r="D53" s="10">
        <v>377.17</v>
      </c>
      <c r="E53" s="10">
        <v>627.75</v>
      </c>
      <c r="F53" s="10"/>
      <c r="G53" s="10"/>
      <c r="H53" s="10"/>
      <c r="I53" s="10"/>
      <c r="J53" s="10"/>
      <c r="K53" s="10">
        <v>300000</v>
      </c>
      <c r="L53" s="10"/>
      <c r="M53" s="10">
        <v>231693</v>
      </c>
      <c r="N53" s="10"/>
      <c r="O53" s="9">
        <v>532697.91999999993</v>
      </c>
      <c r="P53" s="10"/>
      <c r="Q53" s="10"/>
      <c r="R53" s="10"/>
      <c r="S53" s="9"/>
      <c r="T53" s="9">
        <v>532697.91999999993</v>
      </c>
    </row>
    <row r="54" spans="1:20" x14ac:dyDescent="0.35">
      <c r="A54" s="35" t="s">
        <v>11</v>
      </c>
      <c r="B54" s="4" t="s">
        <v>50</v>
      </c>
      <c r="C54" s="10"/>
      <c r="D54" s="10"/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464464</v>
      </c>
      <c r="L54" s="10">
        <v>31668</v>
      </c>
      <c r="M54" s="10">
        <v>31668</v>
      </c>
      <c r="N54" s="10">
        <v>0</v>
      </c>
      <c r="O54" s="9">
        <v>527800</v>
      </c>
      <c r="P54" s="10"/>
      <c r="Q54" s="10"/>
      <c r="R54" s="10"/>
      <c r="S54" s="9"/>
      <c r="T54" s="9">
        <v>527800</v>
      </c>
    </row>
    <row r="55" spans="1:20" x14ac:dyDescent="0.35">
      <c r="A55" s="35" t="s">
        <v>11</v>
      </c>
      <c r="B55" s="4" t="s">
        <v>51</v>
      </c>
      <c r="C55" s="10"/>
      <c r="D55" s="10"/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432796</v>
      </c>
      <c r="L55" s="10">
        <v>0</v>
      </c>
      <c r="M55" s="10">
        <v>47502</v>
      </c>
      <c r="N55" s="10">
        <v>47502</v>
      </c>
      <c r="O55" s="9">
        <v>527800</v>
      </c>
      <c r="P55" s="10"/>
      <c r="Q55" s="10"/>
      <c r="R55" s="10"/>
      <c r="S55" s="9"/>
      <c r="T55" s="9">
        <v>527800</v>
      </c>
    </row>
    <row r="56" spans="1:20" x14ac:dyDescent="0.35">
      <c r="A56" s="35" t="s">
        <v>11</v>
      </c>
      <c r="B56" s="4" t="s">
        <v>46</v>
      </c>
      <c r="C56" s="10"/>
      <c r="D56" s="10"/>
      <c r="E56" s="10">
        <v>0</v>
      </c>
      <c r="F56" s="10">
        <v>0</v>
      </c>
      <c r="G56" s="10">
        <v>0</v>
      </c>
      <c r="H56" s="10">
        <v>205000</v>
      </c>
      <c r="I56" s="10">
        <v>160350</v>
      </c>
      <c r="J56" s="10">
        <v>0</v>
      </c>
      <c r="K56" s="10">
        <v>0</v>
      </c>
      <c r="L56" s="10">
        <v>0</v>
      </c>
      <c r="M56" s="10">
        <v>0</v>
      </c>
      <c r="N56" s="10">
        <v>160350</v>
      </c>
      <c r="O56" s="9">
        <v>525700</v>
      </c>
      <c r="P56" s="10"/>
      <c r="Q56" s="10"/>
      <c r="R56" s="10"/>
      <c r="S56" s="9"/>
      <c r="T56" s="9">
        <v>525700</v>
      </c>
    </row>
    <row r="57" spans="1:20" x14ac:dyDescent="0.35">
      <c r="A57" s="35" t="s">
        <v>11</v>
      </c>
      <c r="B57" s="4" t="s">
        <v>53</v>
      </c>
      <c r="C57" s="10"/>
      <c r="D57" s="10"/>
      <c r="E57" s="10">
        <v>0</v>
      </c>
      <c r="F57" s="10">
        <v>0</v>
      </c>
      <c r="G57" s="10">
        <v>0</v>
      </c>
      <c r="H57" s="10">
        <v>397494</v>
      </c>
      <c r="I57" s="10">
        <v>31494</v>
      </c>
      <c r="J57" s="10">
        <v>31494</v>
      </c>
      <c r="K57" s="10">
        <v>0</v>
      </c>
      <c r="L57" s="10">
        <v>0</v>
      </c>
      <c r="M57" s="10">
        <v>64418</v>
      </c>
      <c r="N57" s="10">
        <v>0</v>
      </c>
      <c r="O57" s="9">
        <v>524900</v>
      </c>
      <c r="P57" s="10"/>
      <c r="Q57" s="10"/>
      <c r="R57" s="10"/>
      <c r="S57" s="9"/>
      <c r="T57" s="9">
        <v>524900</v>
      </c>
    </row>
    <row r="58" spans="1:20" x14ac:dyDescent="0.35">
      <c r="A58" s="35" t="s">
        <v>11</v>
      </c>
      <c r="B58" s="4" t="s">
        <v>34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9"/>
      <c r="P58" s="10"/>
      <c r="Q58" s="10"/>
      <c r="R58" s="10">
        <v>524900</v>
      </c>
      <c r="S58" s="9">
        <v>524900</v>
      </c>
      <c r="T58" s="9">
        <v>524900</v>
      </c>
    </row>
    <row r="59" spans="1:20" x14ac:dyDescent="0.35">
      <c r="A59" s="35" t="s">
        <v>11</v>
      </c>
      <c r="B59" s="4" t="s">
        <v>35</v>
      </c>
      <c r="C59" s="10"/>
      <c r="D59" s="10"/>
      <c r="E59" s="10"/>
      <c r="F59" s="10"/>
      <c r="G59" s="10"/>
      <c r="H59" s="10"/>
      <c r="I59" s="10"/>
      <c r="J59" s="10">
        <v>0</v>
      </c>
      <c r="K59" s="10">
        <v>0</v>
      </c>
      <c r="L59" s="10">
        <v>0</v>
      </c>
      <c r="M59" s="10"/>
      <c r="N59" s="10"/>
      <c r="O59" s="9">
        <v>0</v>
      </c>
      <c r="P59" s="10"/>
      <c r="Q59" s="10"/>
      <c r="R59" s="10">
        <v>501700</v>
      </c>
      <c r="S59" s="9">
        <v>501700</v>
      </c>
      <c r="T59" s="9">
        <v>501700</v>
      </c>
    </row>
    <row r="60" spans="1:20" x14ac:dyDescent="0.35">
      <c r="A60" s="35" t="s">
        <v>11</v>
      </c>
      <c r="B60" s="4" t="s">
        <v>36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>
        <v>0</v>
      </c>
      <c r="O60" s="9">
        <v>0</v>
      </c>
      <c r="P60" s="10"/>
      <c r="Q60" s="10"/>
      <c r="R60" s="10">
        <v>501700</v>
      </c>
      <c r="S60" s="9">
        <v>501700</v>
      </c>
      <c r="T60" s="9">
        <v>501700</v>
      </c>
    </row>
    <row r="61" spans="1:20" x14ac:dyDescent="0.35">
      <c r="A61" s="35" t="s">
        <v>11</v>
      </c>
      <c r="B61" s="4" t="s">
        <v>37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>
        <v>0</v>
      </c>
      <c r="N61" s="10"/>
      <c r="O61" s="9">
        <v>0</v>
      </c>
      <c r="P61" s="10"/>
      <c r="Q61" s="10"/>
      <c r="R61" s="10">
        <v>501700</v>
      </c>
      <c r="S61" s="9">
        <v>501700</v>
      </c>
      <c r="T61" s="9">
        <v>501700</v>
      </c>
    </row>
    <row r="62" spans="1:20" x14ac:dyDescent="0.35">
      <c r="A62" s="35" t="s">
        <v>11</v>
      </c>
      <c r="B62" s="4" t="s">
        <v>28</v>
      </c>
      <c r="C62" s="10">
        <v>119202.1</v>
      </c>
      <c r="D62" s="10">
        <v>0</v>
      </c>
      <c r="E62" s="10">
        <v>31526.19</v>
      </c>
      <c r="F62" s="10">
        <v>83480.12</v>
      </c>
      <c r="G62" s="10">
        <v>133835</v>
      </c>
      <c r="H62" s="10"/>
      <c r="I62" s="10"/>
      <c r="J62" s="10"/>
      <c r="K62" s="10">
        <v>127131</v>
      </c>
      <c r="L62" s="10"/>
      <c r="M62" s="10"/>
      <c r="N62" s="10"/>
      <c r="O62" s="9">
        <v>495174.41000000003</v>
      </c>
      <c r="P62" s="10"/>
      <c r="Q62" s="10"/>
      <c r="R62" s="10"/>
      <c r="S62" s="9"/>
      <c r="T62" s="9">
        <v>495174.41000000003</v>
      </c>
    </row>
    <row r="63" spans="1:20" x14ac:dyDescent="0.35">
      <c r="A63" s="35" t="s">
        <v>11</v>
      </c>
      <c r="B63" s="4" t="s">
        <v>100</v>
      </c>
      <c r="C63" s="10"/>
      <c r="D63" s="10"/>
      <c r="E63" s="10">
        <v>0</v>
      </c>
      <c r="F63" s="10">
        <v>0</v>
      </c>
      <c r="G63" s="10">
        <v>518</v>
      </c>
      <c r="H63" s="10">
        <v>0</v>
      </c>
      <c r="I63" s="10">
        <v>0</v>
      </c>
      <c r="J63" s="10">
        <v>0</v>
      </c>
      <c r="K63" s="10">
        <v>0</v>
      </c>
      <c r="L63" s="10">
        <v>31978.5</v>
      </c>
      <c r="M63" s="10">
        <v>31978.5</v>
      </c>
      <c r="N63" s="10">
        <v>98991</v>
      </c>
      <c r="O63" s="9">
        <v>163466</v>
      </c>
      <c r="P63" s="10"/>
      <c r="Q63" s="10"/>
      <c r="R63" s="10">
        <v>297000</v>
      </c>
      <c r="S63" s="9">
        <v>297000</v>
      </c>
      <c r="T63" s="9">
        <v>460466</v>
      </c>
    </row>
    <row r="64" spans="1:20" x14ac:dyDescent="0.35">
      <c r="A64" s="35" t="s">
        <v>11</v>
      </c>
      <c r="B64" s="4" t="s">
        <v>79</v>
      </c>
      <c r="C64" s="10"/>
      <c r="D64" s="10"/>
      <c r="E64" s="10">
        <v>0</v>
      </c>
      <c r="F64" s="10">
        <v>0</v>
      </c>
      <c r="G64" s="10">
        <v>0</v>
      </c>
      <c r="H64" s="10">
        <v>37726</v>
      </c>
      <c r="I64" s="10">
        <v>37726</v>
      </c>
      <c r="J64" s="10">
        <v>0</v>
      </c>
      <c r="K64" s="10">
        <v>0</v>
      </c>
      <c r="L64" s="10">
        <v>0</v>
      </c>
      <c r="M64" s="10">
        <v>343727</v>
      </c>
      <c r="N64" s="10">
        <v>0</v>
      </c>
      <c r="O64" s="9">
        <v>419179</v>
      </c>
      <c r="P64" s="10"/>
      <c r="Q64" s="10"/>
      <c r="R64" s="10"/>
      <c r="S64" s="9"/>
      <c r="T64" s="9">
        <v>419179</v>
      </c>
    </row>
    <row r="65" spans="1:20" x14ac:dyDescent="0.35">
      <c r="A65" s="35" t="s">
        <v>11</v>
      </c>
      <c r="B65" s="4" t="s">
        <v>40</v>
      </c>
      <c r="C65" s="10"/>
      <c r="D65" s="10"/>
      <c r="E65" s="10">
        <v>0</v>
      </c>
      <c r="F65" s="10">
        <v>0</v>
      </c>
      <c r="G65" s="10">
        <v>0</v>
      </c>
      <c r="H65" s="10">
        <v>58212</v>
      </c>
      <c r="I65" s="10">
        <v>335188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9">
        <v>393400</v>
      </c>
      <c r="P65" s="10"/>
      <c r="Q65" s="10"/>
      <c r="R65" s="10"/>
      <c r="S65" s="9"/>
      <c r="T65" s="9">
        <v>393400</v>
      </c>
    </row>
    <row r="66" spans="1:20" x14ac:dyDescent="0.35">
      <c r="A66" s="35" t="s">
        <v>11</v>
      </c>
      <c r="B66" s="4" t="s">
        <v>52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>
        <v>391500</v>
      </c>
      <c r="N66" s="10"/>
      <c r="O66" s="9">
        <v>391500</v>
      </c>
      <c r="P66" s="10"/>
      <c r="Q66" s="10"/>
      <c r="R66" s="10">
        <v>0</v>
      </c>
      <c r="S66" s="9">
        <v>0</v>
      </c>
      <c r="T66" s="9">
        <v>391500</v>
      </c>
    </row>
    <row r="67" spans="1:20" x14ac:dyDescent="0.35">
      <c r="A67" s="35" t="s">
        <v>11</v>
      </c>
      <c r="B67" s="4" t="s">
        <v>38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9"/>
      <c r="P67" s="10"/>
      <c r="Q67" s="10"/>
      <c r="R67" s="10">
        <v>391500</v>
      </c>
      <c r="S67" s="9">
        <v>391500</v>
      </c>
      <c r="T67" s="9">
        <v>391500</v>
      </c>
    </row>
    <row r="68" spans="1:20" x14ac:dyDescent="0.35">
      <c r="A68" s="35" t="s">
        <v>11</v>
      </c>
      <c r="B68" s="4" t="s">
        <v>107</v>
      </c>
      <c r="C68" s="10">
        <v>120934.43</v>
      </c>
      <c r="D68" s="10">
        <v>0</v>
      </c>
      <c r="E68" s="10">
        <v>4260</v>
      </c>
      <c r="F68" s="10">
        <v>33452</v>
      </c>
      <c r="G68" s="10"/>
      <c r="H68" s="10">
        <v>109000</v>
      </c>
      <c r="I68" s="10"/>
      <c r="J68" s="10"/>
      <c r="K68" s="10">
        <v>83000</v>
      </c>
      <c r="L68" s="10"/>
      <c r="M68" s="10"/>
      <c r="N68" s="10">
        <v>33453</v>
      </c>
      <c r="O68" s="9">
        <v>384099.43</v>
      </c>
      <c r="P68" s="10"/>
      <c r="Q68" s="10"/>
      <c r="R68" s="10"/>
      <c r="S68" s="9"/>
      <c r="T68" s="9">
        <v>384099.43</v>
      </c>
    </row>
    <row r="69" spans="1:20" x14ac:dyDescent="0.35">
      <c r="A69" s="35" t="s">
        <v>11</v>
      </c>
      <c r="B69" s="4" t="s">
        <v>121</v>
      </c>
      <c r="C69" s="10"/>
      <c r="D69" s="10"/>
      <c r="E69" s="10">
        <v>0</v>
      </c>
      <c r="F69" s="10">
        <v>0</v>
      </c>
      <c r="G69" s="10">
        <v>0</v>
      </c>
      <c r="H69" s="10">
        <v>30500</v>
      </c>
      <c r="I69" s="10">
        <v>18042.5</v>
      </c>
      <c r="J69" s="10">
        <v>18042.5</v>
      </c>
      <c r="K69" s="10">
        <v>31882</v>
      </c>
      <c r="L69" s="10">
        <v>0</v>
      </c>
      <c r="M69" s="10">
        <v>0</v>
      </c>
      <c r="N69" s="10">
        <v>33500</v>
      </c>
      <c r="O69" s="9">
        <v>131967</v>
      </c>
      <c r="P69" s="10"/>
      <c r="Q69" s="10"/>
      <c r="R69" s="10">
        <v>127833</v>
      </c>
      <c r="S69" s="9">
        <v>127833</v>
      </c>
      <c r="T69" s="9">
        <v>259800</v>
      </c>
    </row>
    <row r="70" spans="1:20" x14ac:dyDescent="0.35">
      <c r="A70" s="35" t="s">
        <v>11</v>
      </c>
      <c r="B70" s="4" t="s">
        <v>122</v>
      </c>
      <c r="C70" s="10"/>
      <c r="D70" s="10"/>
      <c r="E70" s="10">
        <v>0</v>
      </c>
      <c r="F70" s="10">
        <v>0</v>
      </c>
      <c r="G70" s="10">
        <v>0</v>
      </c>
      <c r="H70" s="10">
        <v>30500</v>
      </c>
      <c r="I70" s="10">
        <v>0</v>
      </c>
      <c r="J70" s="10">
        <v>18042.5</v>
      </c>
      <c r="K70" s="10">
        <v>49924.5</v>
      </c>
      <c r="L70" s="10">
        <v>0</v>
      </c>
      <c r="M70" s="10">
        <v>0</v>
      </c>
      <c r="N70" s="10">
        <v>33500</v>
      </c>
      <c r="O70" s="9">
        <v>131967</v>
      </c>
      <c r="P70" s="10"/>
      <c r="Q70" s="10"/>
      <c r="R70" s="10">
        <v>127833</v>
      </c>
      <c r="S70" s="9">
        <v>127833</v>
      </c>
      <c r="T70" s="9">
        <v>259800</v>
      </c>
    </row>
    <row r="71" spans="1:20" x14ac:dyDescent="0.35">
      <c r="A71" s="35" t="s">
        <v>11</v>
      </c>
      <c r="B71" s="4" t="s">
        <v>123</v>
      </c>
      <c r="C71" s="10"/>
      <c r="D71" s="10"/>
      <c r="E71" s="10">
        <v>0</v>
      </c>
      <c r="F71" s="10">
        <v>0</v>
      </c>
      <c r="G71" s="10">
        <v>0</v>
      </c>
      <c r="H71" s="10">
        <v>30500</v>
      </c>
      <c r="I71" s="10">
        <v>0</v>
      </c>
      <c r="J71" s="10">
        <v>0</v>
      </c>
      <c r="K71" s="10">
        <v>49924.5</v>
      </c>
      <c r="L71" s="10">
        <v>18042.5</v>
      </c>
      <c r="M71" s="10">
        <v>0</v>
      </c>
      <c r="N71" s="10">
        <v>33500</v>
      </c>
      <c r="O71" s="9">
        <v>131967</v>
      </c>
      <c r="P71" s="10"/>
      <c r="Q71" s="10"/>
      <c r="R71" s="10">
        <v>127833</v>
      </c>
      <c r="S71" s="9">
        <v>127833</v>
      </c>
      <c r="T71" s="9">
        <v>259800</v>
      </c>
    </row>
    <row r="72" spans="1:20" x14ac:dyDescent="0.35">
      <c r="A72" s="35" t="s">
        <v>11</v>
      </c>
      <c r="B72" s="4" t="s">
        <v>124</v>
      </c>
      <c r="C72" s="10"/>
      <c r="D72" s="10"/>
      <c r="E72" s="10">
        <v>0</v>
      </c>
      <c r="F72" s="10">
        <v>0</v>
      </c>
      <c r="G72" s="10">
        <v>0</v>
      </c>
      <c r="H72" s="10">
        <v>30500</v>
      </c>
      <c r="I72" s="10">
        <v>0</v>
      </c>
      <c r="J72" s="10">
        <v>0</v>
      </c>
      <c r="K72" s="10">
        <v>31882</v>
      </c>
      <c r="L72" s="10">
        <v>18042.5</v>
      </c>
      <c r="M72" s="10">
        <v>18042.5</v>
      </c>
      <c r="N72" s="10">
        <v>33500</v>
      </c>
      <c r="O72" s="9">
        <v>131967</v>
      </c>
      <c r="P72" s="10"/>
      <c r="Q72" s="10"/>
      <c r="R72" s="10">
        <v>127833</v>
      </c>
      <c r="S72" s="9">
        <v>127833</v>
      </c>
      <c r="T72" s="9">
        <v>259800</v>
      </c>
    </row>
    <row r="73" spans="1:20" x14ac:dyDescent="0.35">
      <c r="A73" s="35" t="s">
        <v>11</v>
      </c>
      <c r="B73" s="4" t="s">
        <v>125</v>
      </c>
      <c r="C73" s="10"/>
      <c r="D73" s="10"/>
      <c r="E73" s="10">
        <v>0</v>
      </c>
      <c r="F73" s="10">
        <v>0</v>
      </c>
      <c r="G73" s="10">
        <v>0</v>
      </c>
      <c r="H73" s="10">
        <v>30500</v>
      </c>
      <c r="I73" s="10">
        <v>0</v>
      </c>
      <c r="J73" s="10">
        <v>0</v>
      </c>
      <c r="K73" s="10">
        <v>31882</v>
      </c>
      <c r="L73" s="10">
        <v>0</v>
      </c>
      <c r="M73" s="10">
        <v>18042.5</v>
      </c>
      <c r="N73" s="10">
        <v>51542.5</v>
      </c>
      <c r="O73" s="9">
        <v>131967</v>
      </c>
      <c r="P73" s="10"/>
      <c r="Q73" s="10"/>
      <c r="R73" s="10">
        <v>127833</v>
      </c>
      <c r="S73" s="9">
        <v>127833</v>
      </c>
      <c r="T73" s="9">
        <v>259800</v>
      </c>
    </row>
    <row r="74" spans="1:20" x14ac:dyDescent="0.35">
      <c r="A74" s="35" t="s">
        <v>11</v>
      </c>
      <c r="B74" s="4" t="s">
        <v>117</v>
      </c>
      <c r="C74" s="10"/>
      <c r="D74" s="10"/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9">
        <v>0</v>
      </c>
      <c r="P74" s="10">
        <v>35959</v>
      </c>
      <c r="Q74" s="10"/>
      <c r="R74" s="10">
        <v>222935</v>
      </c>
      <c r="S74" s="9">
        <v>258894</v>
      </c>
      <c r="T74" s="9">
        <v>258894</v>
      </c>
    </row>
    <row r="75" spans="1:20" x14ac:dyDescent="0.35">
      <c r="A75" s="35" t="s">
        <v>11</v>
      </c>
      <c r="B75" s="4" t="s">
        <v>55</v>
      </c>
      <c r="C75" s="10"/>
      <c r="D75" s="10"/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23300</v>
      </c>
      <c r="K75" s="10">
        <v>23300</v>
      </c>
      <c r="L75" s="10">
        <v>0</v>
      </c>
      <c r="M75" s="10">
        <v>212291</v>
      </c>
      <c r="N75" s="10">
        <v>0</v>
      </c>
      <c r="O75" s="9">
        <v>258891</v>
      </c>
      <c r="P75" s="10"/>
      <c r="Q75" s="10"/>
      <c r="R75" s="10"/>
      <c r="S75" s="9"/>
      <c r="T75" s="9">
        <v>258891</v>
      </c>
    </row>
    <row r="76" spans="1:20" x14ac:dyDescent="0.35">
      <c r="A76" s="35" t="s">
        <v>11</v>
      </c>
      <c r="B76" s="4" t="s">
        <v>118</v>
      </c>
      <c r="C76" s="10"/>
      <c r="D76" s="10"/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9">
        <v>0</v>
      </c>
      <c r="P76" s="10">
        <v>35959</v>
      </c>
      <c r="Q76" s="10"/>
      <c r="R76" s="10">
        <v>222931</v>
      </c>
      <c r="S76" s="9">
        <v>258890</v>
      </c>
      <c r="T76" s="9">
        <v>258890</v>
      </c>
    </row>
    <row r="77" spans="1:20" x14ac:dyDescent="0.35">
      <c r="A77" s="35" t="s">
        <v>11</v>
      </c>
      <c r="B77" s="4" t="s">
        <v>119</v>
      </c>
      <c r="C77" s="10"/>
      <c r="D77" s="10"/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9">
        <v>0</v>
      </c>
      <c r="P77" s="10">
        <v>35959</v>
      </c>
      <c r="Q77" s="10"/>
      <c r="R77" s="10">
        <v>222931</v>
      </c>
      <c r="S77" s="9">
        <v>258890</v>
      </c>
      <c r="T77" s="9">
        <v>258890</v>
      </c>
    </row>
    <row r="78" spans="1:20" x14ac:dyDescent="0.35">
      <c r="A78" s="35" t="s">
        <v>11</v>
      </c>
      <c r="B78" s="4" t="s">
        <v>120</v>
      </c>
      <c r="C78" s="10"/>
      <c r="D78" s="10"/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9">
        <v>0</v>
      </c>
      <c r="P78" s="10">
        <v>35959</v>
      </c>
      <c r="Q78" s="10"/>
      <c r="R78" s="10">
        <v>222931</v>
      </c>
      <c r="S78" s="9">
        <v>258890</v>
      </c>
      <c r="T78" s="9">
        <v>258890</v>
      </c>
    </row>
    <row r="79" spans="1:20" x14ac:dyDescent="0.35">
      <c r="A79" s="35" t="s">
        <v>11</v>
      </c>
      <c r="B79" s="4" t="s">
        <v>126</v>
      </c>
      <c r="C79" s="10"/>
      <c r="D79" s="10"/>
      <c r="E79" s="10">
        <v>0</v>
      </c>
      <c r="F79" s="10">
        <v>0</v>
      </c>
      <c r="G79" s="10">
        <v>0</v>
      </c>
      <c r="H79" s="10">
        <v>42434.623299999999</v>
      </c>
      <c r="I79" s="10">
        <v>11349.623299999999</v>
      </c>
      <c r="J79" s="10">
        <v>0</v>
      </c>
      <c r="K79" s="10">
        <v>33333</v>
      </c>
      <c r="L79" s="10">
        <v>0</v>
      </c>
      <c r="M79" s="10">
        <v>0</v>
      </c>
      <c r="N79" s="10">
        <v>44849.623299999999</v>
      </c>
      <c r="O79" s="9">
        <v>131966.86989999999</v>
      </c>
      <c r="P79" s="10"/>
      <c r="Q79" s="10"/>
      <c r="R79" s="10">
        <v>125797</v>
      </c>
      <c r="S79" s="9">
        <v>125797</v>
      </c>
      <c r="T79" s="9">
        <v>257763.86989999999</v>
      </c>
    </row>
    <row r="80" spans="1:20" x14ac:dyDescent="0.35">
      <c r="A80" s="35" t="s">
        <v>11</v>
      </c>
      <c r="B80" s="4" t="s">
        <v>85</v>
      </c>
      <c r="C80" s="10"/>
      <c r="D80" s="10"/>
      <c r="E80" s="10">
        <v>0</v>
      </c>
      <c r="F80" s="10">
        <v>14268</v>
      </c>
      <c r="G80" s="10">
        <v>0</v>
      </c>
      <c r="H80" s="10">
        <v>14268</v>
      </c>
      <c r="I80" s="10">
        <v>0</v>
      </c>
      <c r="J80" s="10">
        <v>14268</v>
      </c>
      <c r="K80" s="10">
        <v>0</v>
      </c>
      <c r="L80" s="10">
        <v>194996</v>
      </c>
      <c r="M80" s="10">
        <v>0</v>
      </c>
      <c r="N80" s="10">
        <v>0</v>
      </c>
      <c r="O80" s="9">
        <v>237800</v>
      </c>
      <c r="P80" s="10"/>
      <c r="Q80" s="10"/>
      <c r="R80" s="10"/>
      <c r="S80" s="9"/>
      <c r="T80" s="9">
        <v>237800</v>
      </c>
    </row>
    <row r="81" spans="1:20" x14ac:dyDescent="0.35">
      <c r="A81" s="35" t="s">
        <v>11</v>
      </c>
      <c r="B81" s="4" t="s">
        <v>74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9"/>
      <c r="P81" s="10"/>
      <c r="Q81" s="10"/>
      <c r="R81" s="10">
        <v>237800</v>
      </c>
      <c r="S81" s="9">
        <v>237800</v>
      </c>
      <c r="T81" s="9">
        <v>237800</v>
      </c>
    </row>
    <row r="82" spans="1:20" x14ac:dyDescent="0.35">
      <c r="A82" s="35" t="s">
        <v>11</v>
      </c>
      <c r="B82" s="4" t="s">
        <v>17</v>
      </c>
      <c r="C82" s="10">
        <v>145168.42000000001</v>
      </c>
      <c r="D82" s="10">
        <v>4145.3</v>
      </c>
      <c r="E82" s="10">
        <v>35285.71</v>
      </c>
      <c r="F82" s="10">
        <v>2407.34</v>
      </c>
      <c r="G82" s="10">
        <v>0</v>
      </c>
      <c r="H82" s="10"/>
      <c r="I82" s="10">
        <v>36149.910000000003</v>
      </c>
      <c r="J82" s="10">
        <v>13008.86</v>
      </c>
      <c r="K82" s="10"/>
      <c r="L82" s="10"/>
      <c r="M82" s="10"/>
      <c r="N82" s="10"/>
      <c r="O82" s="9">
        <v>236165.54</v>
      </c>
      <c r="P82" s="10"/>
      <c r="Q82" s="10"/>
      <c r="R82" s="10"/>
      <c r="S82" s="9"/>
      <c r="T82" s="9">
        <v>236165.54</v>
      </c>
    </row>
    <row r="83" spans="1:20" x14ac:dyDescent="0.35">
      <c r="A83" s="35" t="s">
        <v>11</v>
      </c>
      <c r="B83" s="4" t="s">
        <v>133</v>
      </c>
      <c r="C83" s="10">
        <v>0</v>
      </c>
      <c r="D83" s="10">
        <v>72264.179999999993</v>
      </c>
      <c r="E83" s="10">
        <v>14970</v>
      </c>
      <c r="F83" s="10">
        <v>77463.645999999993</v>
      </c>
      <c r="G83" s="10">
        <v>16277.806</v>
      </c>
      <c r="H83" s="10">
        <v>16277.806</v>
      </c>
      <c r="I83" s="10">
        <v>16277.806</v>
      </c>
      <c r="J83" s="10">
        <v>16277.806</v>
      </c>
      <c r="K83" s="10"/>
      <c r="L83" s="10"/>
      <c r="M83" s="10"/>
      <c r="N83" s="10"/>
      <c r="O83" s="9">
        <v>229809.05000000005</v>
      </c>
      <c r="P83" s="10"/>
      <c r="Q83" s="10"/>
      <c r="R83" s="10"/>
      <c r="S83" s="9"/>
      <c r="T83" s="9">
        <v>229809.05000000005</v>
      </c>
    </row>
    <row r="84" spans="1:20" x14ac:dyDescent="0.35">
      <c r="A84" s="35" t="s">
        <v>11</v>
      </c>
      <c r="B84" s="4" t="s">
        <v>76</v>
      </c>
      <c r="C84" s="10"/>
      <c r="D84" s="10"/>
      <c r="E84" s="10">
        <v>0</v>
      </c>
      <c r="F84" s="10">
        <v>19455.5</v>
      </c>
      <c r="G84" s="10">
        <v>0</v>
      </c>
      <c r="H84" s="10">
        <v>0</v>
      </c>
      <c r="I84" s="10">
        <v>0</v>
      </c>
      <c r="J84" s="10">
        <v>177259</v>
      </c>
      <c r="K84" s="10">
        <v>0</v>
      </c>
      <c r="L84" s="10">
        <v>0</v>
      </c>
      <c r="M84" s="10">
        <v>0</v>
      </c>
      <c r="N84" s="10">
        <v>19455.5</v>
      </c>
      <c r="O84" s="9">
        <v>216170</v>
      </c>
      <c r="P84" s="10"/>
      <c r="Q84" s="10"/>
      <c r="R84" s="10"/>
      <c r="S84" s="9"/>
      <c r="T84" s="9">
        <v>216170</v>
      </c>
    </row>
    <row r="85" spans="1:20" x14ac:dyDescent="0.35">
      <c r="A85" s="35" t="s">
        <v>11</v>
      </c>
      <c r="B85" s="4" t="s">
        <v>90</v>
      </c>
      <c r="C85" s="10">
        <v>0</v>
      </c>
      <c r="D85" s="10">
        <v>0</v>
      </c>
      <c r="E85" s="10">
        <v>29523.81</v>
      </c>
      <c r="F85" s="10">
        <v>4759.1899999999996</v>
      </c>
      <c r="G85" s="10">
        <v>1709</v>
      </c>
      <c r="H85" s="10"/>
      <c r="I85" s="10"/>
      <c r="J85" s="10"/>
      <c r="K85" s="10"/>
      <c r="L85" s="10"/>
      <c r="M85" s="10">
        <v>158407</v>
      </c>
      <c r="N85" s="10"/>
      <c r="O85" s="9">
        <v>194399</v>
      </c>
      <c r="P85" s="10"/>
      <c r="Q85" s="10"/>
      <c r="R85" s="10"/>
      <c r="S85" s="9"/>
      <c r="T85" s="9">
        <v>194399</v>
      </c>
    </row>
    <row r="86" spans="1:20" x14ac:dyDescent="0.35">
      <c r="A86" s="35" t="s">
        <v>11</v>
      </c>
      <c r="B86" s="4" t="s">
        <v>57</v>
      </c>
      <c r="C86" s="10">
        <v>0</v>
      </c>
      <c r="D86" s="10">
        <v>0</v>
      </c>
      <c r="E86" s="10">
        <v>82855.360000000001</v>
      </c>
      <c r="F86" s="10">
        <v>25458.71</v>
      </c>
      <c r="G86" s="10">
        <v>301.29000000000002</v>
      </c>
      <c r="H86" s="10"/>
      <c r="I86" s="10">
        <v>78374.789999999994</v>
      </c>
      <c r="J86" s="10"/>
      <c r="K86" s="10"/>
      <c r="L86" s="10"/>
      <c r="M86" s="10"/>
      <c r="N86" s="10"/>
      <c r="O86" s="9">
        <v>186990.14999999997</v>
      </c>
      <c r="P86" s="10"/>
      <c r="Q86" s="10"/>
      <c r="R86" s="10"/>
      <c r="S86" s="9"/>
      <c r="T86" s="9">
        <v>186990.14999999997</v>
      </c>
    </row>
    <row r="87" spans="1:20" x14ac:dyDescent="0.35">
      <c r="A87" s="35" t="s">
        <v>11</v>
      </c>
      <c r="B87" s="4" t="s">
        <v>101</v>
      </c>
      <c r="C87" s="10">
        <v>63477.03</v>
      </c>
      <c r="D87" s="10">
        <v>96064.62</v>
      </c>
      <c r="E87" s="10">
        <v>0</v>
      </c>
      <c r="F87" s="10">
        <v>0</v>
      </c>
      <c r="G87" s="10">
        <v>22423</v>
      </c>
      <c r="H87" s="10"/>
      <c r="I87" s="10"/>
      <c r="J87" s="10"/>
      <c r="K87" s="10"/>
      <c r="L87" s="10"/>
      <c r="M87" s="10"/>
      <c r="N87" s="10"/>
      <c r="O87" s="9">
        <v>181964.65</v>
      </c>
      <c r="P87" s="10"/>
      <c r="Q87" s="10"/>
      <c r="R87" s="10"/>
      <c r="S87" s="9"/>
      <c r="T87" s="9">
        <v>181964.65</v>
      </c>
    </row>
    <row r="88" spans="1:20" x14ac:dyDescent="0.35">
      <c r="A88" s="35" t="s">
        <v>11</v>
      </c>
      <c r="B88" s="4" t="s">
        <v>139</v>
      </c>
      <c r="C88" s="10">
        <v>144992.51999999999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9">
        <v>144992.51999999999</v>
      </c>
      <c r="P88" s="10"/>
      <c r="Q88" s="10"/>
      <c r="R88" s="10"/>
      <c r="S88" s="9"/>
      <c r="T88" s="9">
        <v>144992.51999999999</v>
      </c>
    </row>
    <row r="89" spans="1:20" x14ac:dyDescent="0.35">
      <c r="A89" s="35" t="s">
        <v>11</v>
      </c>
      <c r="B89" s="4" t="s">
        <v>47</v>
      </c>
      <c r="C89" s="10"/>
      <c r="D89" s="10"/>
      <c r="E89" s="10"/>
      <c r="F89" s="10"/>
      <c r="G89" s="10"/>
      <c r="H89" s="10"/>
      <c r="I89" s="10">
        <v>72000</v>
      </c>
      <c r="J89" s="10"/>
      <c r="K89" s="10"/>
      <c r="L89" s="10"/>
      <c r="M89" s="10">
        <v>58000</v>
      </c>
      <c r="N89" s="10"/>
      <c r="O89" s="9">
        <v>130000</v>
      </c>
      <c r="P89" s="10"/>
      <c r="Q89" s="10"/>
      <c r="R89" s="10"/>
      <c r="S89" s="9"/>
      <c r="T89" s="9">
        <v>130000</v>
      </c>
    </row>
    <row r="90" spans="1:20" x14ac:dyDescent="0.35">
      <c r="A90" s="35" t="s">
        <v>11</v>
      </c>
      <c r="B90" s="4" t="s">
        <v>89</v>
      </c>
      <c r="C90" s="10"/>
      <c r="D90" s="10"/>
      <c r="E90" s="10"/>
      <c r="F90" s="10"/>
      <c r="G90" s="10"/>
      <c r="H90" s="10"/>
      <c r="I90" s="10"/>
      <c r="J90" s="10">
        <v>75000</v>
      </c>
      <c r="K90" s="10"/>
      <c r="L90" s="10"/>
      <c r="M90" s="10">
        <v>55000</v>
      </c>
      <c r="N90" s="10"/>
      <c r="O90" s="9">
        <v>130000</v>
      </c>
      <c r="P90" s="10"/>
      <c r="Q90" s="10"/>
      <c r="R90" s="10"/>
      <c r="S90" s="9"/>
      <c r="T90" s="9">
        <v>130000</v>
      </c>
    </row>
    <row r="91" spans="1:20" x14ac:dyDescent="0.35">
      <c r="A91" s="35" t="s">
        <v>11</v>
      </c>
      <c r="B91" s="4" t="s">
        <v>110</v>
      </c>
      <c r="C91" s="10"/>
      <c r="D91" s="10">
        <v>634.04999999999995</v>
      </c>
      <c r="E91" s="10">
        <v>0</v>
      </c>
      <c r="F91" s="10">
        <v>0</v>
      </c>
      <c r="G91" s="10">
        <v>0</v>
      </c>
      <c r="H91" s="10"/>
      <c r="I91" s="10"/>
      <c r="J91" s="10">
        <v>125804</v>
      </c>
      <c r="K91" s="10"/>
      <c r="L91" s="10"/>
      <c r="M91" s="10">
        <v>0</v>
      </c>
      <c r="N91" s="10"/>
      <c r="O91" s="9">
        <v>126438.05</v>
      </c>
      <c r="P91" s="10"/>
      <c r="Q91" s="10"/>
      <c r="R91" s="10"/>
      <c r="S91" s="9"/>
      <c r="T91" s="9">
        <v>126438.05</v>
      </c>
    </row>
    <row r="92" spans="1:20" x14ac:dyDescent="0.35">
      <c r="A92" s="35" t="s">
        <v>11</v>
      </c>
      <c r="B92" s="4" t="s">
        <v>108</v>
      </c>
      <c r="C92" s="10">
        <v>55634.59</v>
      </c>
      <c r="D92" s="10">
        <v>5030.57</v>
      </c>
      <c r="E92" s="10">
        <v>0</v>
      </c>
      <c r="F92" s="10">
        <v>0</v>
      </c>
      <c r="G92" s="10">
        <v>0</v>
      </c>
      <c r="H92" s="10"/>
      <c r="I92" s="10"/>
      <c r="J92" s="10"/>
      <c r="K92" s="10"/>
      <c r="L92" s="10"/>
      <c r="M92" s="10">
        <v>60230.33</v>
      </c>
      <c r="N92" s="10">
        <v>81.69</v>
      </c>
      <c r="O92" s="9">
        <v>120977.18</v>
      </c>
      <c r="P92" s="10"/>
      <c r="Q92" s="10"/>
      <c r="R92" s="10"/>
      <c r="S92" s="9"/>
      <c r="T92" s="9">
        <v>120977.18</v>
      </c>
    </row>
    <row r="93" spans="1:20" x14ac:dyDescent="0.35">
      <c r="A93" s="35" t="s">
        <v>11</v>
      </c>
      <c r="B93" s="4" t="s">
        <v>54</v>
      </c>
      <c r="C93" s="10"/>
      <c r="D93" s="10"/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95120</v>
      </c>
      <c r="N93" s="10">
        <v>20880</v>
      </c>
      <c r="O93" s="9">
        <v>116000</v>
      </c>
      <c r="P93" s="10"/>
      <c r="Q93" s="10"/>
      <c r="R93" s="10"/>
      <c r="S93" s="9"/>
      <c r="T93" s="9">
        <v>116000</v>
      </c>
    </row>
    <row r="94" spans="1:20" x14ac:dyDescent="0.35">
      <c r="A94" s="35" t="s">
        <v>11</v>
      </c>
      <c r="B94" s="4" t="s">
        <v>56</v>
      </c>
      <c r="C94" s="10"/>
      <c r="D94" s="10"/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95120</v>
      </c>
      <c r="L94" s="10">
        <v>0</v>
      </c>
      <c r="M94" s="10">
        <v>0</v>
      </c>
      <c r="N94" s="10">
        <v>20880</v>
      </c>
      <c r="O94" s="9">
        <v>116000</v>
      </c>
      <c r="P94" s="10"/>
      <c r="Q94" s="10"/>
      <c r="R94" s="10"/>
      <c r="S94" s="9"/>
      <c r="T94" s="9">
        <v>116000</v>
      </c>
    </row>
    <row r="95" spans="1:20" x14ac:dyDescent="0.35">
      <c r="A95" s="35" t="s">
        <v>11</v>
      </c>
      <c r="B95" s="4" t="s">
        <v>59</v>
      </c>
      <c r="C95" s="10">
        <v>30284.71</v>
      </c>
      <c r="D95" s="10">
        <v>18840</v>
      </c>
      <c r="E95" s="10">
        <v>0</v>
      </c>
      <c r="F95" s="10">
        <v>3736.8</v>
      </c>
      <c r="G95" s="10">
        <v>315.5</v>
      </c>
      <c r="H95" s="10">
        <v>43289</v>
      </c>
      <c r="I95" s="10"/>
      <c r="J95" s="10"/>
      <c r="K95" s="10"/>
      <c r="L95" s="10"/>
      <c r="M95" s="10"/>
      <c r="N95" s="10"/>
      <c r="O95" s="9">
        <v>96466.010000000009</v>
      </c>
      <c r="P95" s="10"/>
      <c r="Q95" s="10"/>
      <c r="R95" s="10"/>
      <c r="S95" s="9"/>
      <c r="T95" s="9">
        <v>96466.010000000009</v>
      </c>
    </row>
    <row r="96" spans="1:20" x14ac:dyDescent="0.35">
      <c r="A96" s="35" t="s">
        <v>11</v>
      </c>
      <c r="B96" s="4" t="s">
        <v>43</v>
      </c>
      <c r="C96" s="10">
        <v>1981.91</v>
      </c>
      <c r="D96" s="10">
        <v>70417.740000000005</v>
      </c>
      <c r="E96" s="10">
        <v>792.68</v>
      </c>
      <c r="F96" s="10">
        <v>473.85</v>
      </c>
      <c r="G96" s="10"/>
      <c r="H96" s="10">
        <v>17195</v>
      </c>
      <c r="I96" s="10"/>
      <c r="J96" s="10"/>
      <c r="K96" s="10">
        <v>0</v>
      </c>
      <c r="L96" s="10"/>
      <c r="M96" s="10"/>
      <c r="N96" s="10"/>
      <c r="O96" s="9">
        <v>90861.180000000008</v>
      </c>
      <c r="P96" s="10"/>
      <c r="Q96" s="10"/>
      <c r="R96" s="10"/>
      <c r="S96" s="9"/>
      <c r="T96" s="9">
        <v>90861.180000000008</v>
      </c>
    </row>
    <row r="97" spans="1:20" x14ac:dyDescent="0.35">
      <c r="A97" s="35" t="s">
        <v>11</v>
      </c>
      <c r="B97" s="4" t="s">
        <v>105</v>
      </c>
      <c r="C97" s="10">
        <v>54231.12</v>
      </c>
      <c r="D97" s="10">
        <v>0</v>
      </c>
      <c r="E97" s="10"/>
      <c r="F97" s="10"/>
      <c r="G97" s="10"/>
      <c r="H97" s="10"/>
      <c r="I97" s="10"/>
      <c r="J97" s="10">
        <v>6461</v>
      </c>
      <c r="K97" s="10"/>
      <c r="L97" s="10">
        <v>0</v>
      </c>
      <c r="M97" s="10">
        <v>0</v>
      </c>
      <c r="N97" s="10"/>
      <c r="O97" s="9">
        <v>60692.12</v>
      </c>
      <c r="P97" s="10"/>
      <c r="Q97" s="10"/>
      <c r="R97" s="10"/>
      <c r="S97" s="9"/>
      <c r="T97" s="9">
        <v>60692.12</v>
      </c>
    </row>
    <row r="98" spans="1:20" x14ac:dyDescent="0.35">
      <c r="A98" s="35" t="s">
        <v>11</v>
      </c>
      <c r="B98" s="4" t="s">
        <v>102</v>
      </c>
      <c r="C98" s="10">
        <v>0</v>
      </c>
      <c r="D98" s="10">
        <v>0</v>
      </c>
      <c r="E98" s="10">
        <v>0</v>
      </c>
      <c r="F98" s="10">
        <v>21490.06</v>
      </c>
      <c r="G98" s="10">
        <v>2314.0699999999997</v>
      </c>
      <c r="H98" s="10">
        <v>927.47</v>
      </c>
      <c r="I98" s="10">
        <v>31738.75</v>
      </c>
      <c r="J98" s="10"/>
      <c r="K98" s="10"/>
      <c r="L98" s="10"/>
      <c r="M98" s="10"/>
      <c r="N98" s="10"/>
      <c r="O98" s="9">
        <v>56470.350000000006</v>
      </c>
      <c r="P98" s="10"/>
      <c r="Q98" s="10"/>
      <c r="R98" s="10"/>
      <c r="S98" s="9"/>
      <c r="T98" s="9">
        <v>56470.350000000006</v>
      </c>
    </row>
    <row r="99" spans="1:20" x14ac:dyDescent="0.35">
      <c r="A99" s="35" t="s">
        <v>11</v>
      </c>
      <c r="B99" s="4" t="s">
        <v>24</v>
      </c>
      <c r="C99" s="10"/>
      <c r="D99" s="10">
        <v>0</v>
      </c>
      <c r="E99" s="10"/>
      <c r="F99" s="10"/>
      <c r="G99" s="10"/>
      <c r="H99" s="10"/>
      <c r="I99" s="10"/>
      <c r="J99" s="10">
        <v>55209</v>
      </c>
      <c r="K99" s="10"/>
      <c r="L99" s="10"/>
      <c r="M99" s="10">
        <v>0</v>
      </c>
      <c r="N99" s="10"/>
      <c r="O99" s="9">
        <v>55209</v>
      </c>
      <c r="P99" s="10"/>
      <c r="Q99" s="10"/>
      <c r="R99" s="10"/>
      <c r="S99" s="9"/>
      <c r="T99" s="9">
        <v>55209</v>
      </c>
    </row>
    <row r="100" spans="1:20" x14ac:dyDescent="0.35">
      <c r="A100" s="35" t="s">
        <v>11</v>
      </c>
      <c r="B100" s="4" t="s">
        <v>132</v>
      </c>
      <c r="C100" s="10"/>
      <c r="D100" s="10">
        <v>0</v>
      </c>
      <c r="E100" s="10">
        <v>36383.89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9">
        <v>36383.89</v>
      </c>
      <c r="P100" s="10"/>
      <c r="Q100" s="10"/>
      <c r="R100" s="10"/>
      <c r="S100" s="9"/>
      <c r="T100" s="9">
        <v>36383.89</v>
      </c>
    </row>
    <row r="101" spans="1:20" x14ac:dyDescent="0.35">
      <c r="A101" s="35" t="s">
        <v>11</v>
      </c>
      <c r="B101" s="4" t="s">
        <v>130</v>
      </c>
      <c r="C101" s="10"/>
      <c r="D101" s="10">
        <v>0</v>
      </c>
      <c r="E101" s="10"/>
      <c r="F101" s="10"/>
      <c r="G101" s="10"/>
      <c r="H101" s="10"/>
      <c r="I101" s="10"/>
      <c r="J101" s="10"/>
      <c r="K101" s="10"/>
      <c r="L101" s="10"/>
      <c r="M101" s="10">
        <v>29611</v>
      </c>
      <c r="N101" s="10"/>
      <c r="O101" s="9">
        <v>29611</v>
      </c>
      <c r="P101" s="10"/>
      <c r="Q101" s="10"/>
      <c r="R101" s="10"/>
      <c r="S101" s="9"/>
      <c r="T101" s="9">
        <v>29611</v>
      </c>
    </row>
    <row r="102" spans="1:20" x14ac:dyDescent="0.35">
      <c r="A102" s="35" t="s">
        <v>11</v>
      </c>
      <c r="B102" s="4" t="s">
        <v>49</v>
      </c>
      <c r="C102" s="10">
        <v>0</v>
      </c>
      <c r="D102" s="10">
        <v>0</v>
      </c>
      <c r="E102" s="10">
        <v>0</v>
      </c>
      <c r="F102" s="10">
        <v>24480</v>
      </c>
      <c r="G102" s="10">
        <v>4793.6000000000004</v>
      </c>
      <c r="H102" s="10"/>
      <c r="I102" s="10">
        <v>0.05</v>
      </c>
      <c r="J102" s="10"/>
      <c r="K102" s="10"/>
      <c r="L102" s="10"/>
      <c r="M102" s="10"/>
      <c r="N102" s="10"/>
      <c r="O102" s="9">
        <v>29273.649999999998</v>
      </c>
      <c r="P102" s="10"/>
      <c r="Q102" s="10"/>
      <c r="R102" s="10"/>
      <c r="S102" s="9"/>
      <c r="T102" s="9">
        <v>29273.649999999998</v>
      </c>
    </row>
    <row r="103" spans="1:20" x14ac:dyDescent="0.35">
      <c r="A103" s="35" t="s">
        <v>11</v>
      </c>
      <c r="B103" s="4" t="s">
        <v>26</v>
      </c>
      <c r="C103" s="10">
        <v>8865.52</v>
      </c>
      <c r="D103" s="10">
        <v>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>
        <v>2332</v>
      </c>
      <c r="O103" s="9">
        <v>11197.52</v>
      </c>
      <c r="P103" s="10"/>
      <c r="Q103" s="10"/>
      <c r="R103" s="10"/>
      <c r="S103" s="9"/>
      <c r="T103" s="9">
        <v>11197.52</v>
      </c>
    </row>
    <row r="104" spans="1:20" x14ac:dyDescent="0.35">
      <c r="A104" s="35" t="s">
        <v>11</v>
      </c>
      <c r="B104" s="4" t="s">
        <v>135</v>
      </c>
      <c r="C104" s="10"/>
      <c r="D104" s="10">
        <v>0</v>
      </c>
      <c r="E104" s="10">
        <v>0</v>
      </c>
      <c r="F104" s="10">
        <v>0</v>
      </c>
      <c r="G104" s="10">
        <v>3555.8150000000001</v>
      </c>
      <c r="H104" s="10">
        <v>3555.8150000000001</v>
      </c>
      <c r="I104" s="10"/>
      <c r="J104" s="10"/>
      <c r="K104" s="10"/>
      <c r="L104" s="10"/>
      <c r="M104" s="10">
        <v>235</v>
      </c>
      <c r="N104" s="10"/>
      <c r="O104" s="9">
        <v>7346.63</v>
      </c>
      <c r="P104" s="10"/>
      <c r="Q104" s="10"/>
      <c r="R104" s="10"/>
      <c r="S104" s="9"/>
      <c r="T104" s="9">
        <v>7346.63</v>
      </c>
    </row>
    <row r="105" spans="1:20" x14ac:dyDescent="0.35">
      <c r="A105" s="35" t="s">
        <v>11</v>
      </c>
      <c r="B105" s="4" t="s">
        <v>270</v>
      </c>
      <c r="C105" s="10">
        <v>0</v>
      </c>
      <c r="D105" s="10"/>
      <c r="E105" s="10">
        <v>0</v>
      </c>
      <c r="F105" s="10">
        <v>3385.625</v>
      </c>
      <c r="G105" s="10">
        <v>3385.625</v>
      </c>
      <c r="H105" s="10"/>
      <c r="I105" s="10"/>
      <c r="J105" s="10"/>
      <c r="K105" s="10"/>
      <c r="L105" s="10"/>
      <c r="M105" s="10"/>
      <c r="N105" s="10"/>
      <c r="O105" s="9">
        <v>6771.25</v>
      </c>
      <c r="P105" s="10"/>
      <c r="Q105" s="10"/>
      <c r="R105" s="10"/>
      <c r="S105" s="9"/>
      <c r="T105" s="9">
        <v>6771.25</v>
      </c>
    </row>
    <row r="106" spans="1:20" x14ac:dyDescent="0.35">
      <c r="A106" s="35" t="s">
        <v>11</v>
      </c>
      <c r="B106" s="4" t="s">
        <v>27</v>
      </c>
      <c r="C106" s="10"/>
      <c r="D106" s="10">
        <v>0</v>
      </c>
      <c r="E106" s="10"/>
      <c r="F106" s="10"/>
      <c r="G106" s="10"/>
      <c r="H106" s="10"/>
      <c r="I106" s="10"/>
      <c r="J106" s="10">
        <v>4355</v>
      </c>
      <c r="K106" s="10"/>
      <c r="L106" s="10"/>
      <c r="M106" s="10">
        <v>0</v>
      </c>
      <c r="N106" s="10"/>
      <c r="O106" s="9">
        <v>4355</v>
      </c>
      <c r="P106" s="10"/>
      <c r="Q106" s="10"/>
      <c r="R106" s="10"/>
      <c r="S106" s="9"/>
      <c r="T106" s="9">
        <v>4355</v>
      </c>
    </row>
    <row r="107" spans="1:20" x14ac:dyDescent="0.35">
      <c r="A107" s="35" t="s">
        <v>11</v>
      </c>
      <c r="B107" s="4" t="s">
        <v>25</v>
      </c>
      <c r="C107" s="10"/>
      <c r="D107" s="10">
        <v>0</v>
      </c>
      <c r="E107" s="10"/>
      <c r="F107" s="10"/>
      <c r="G107" s="10"/>
      <c r="H107" s="10"/>
      <c r="I107" s="10"/>
      <c r="J107" s="10"/>
      <c r="K107" s="10"/>
      <c r="L107" s="10"/>
      <c r="M107" s="10">
        <v>0</v>
      </c>
      <c r="N107" s="10">
        <v>2553</v>
      </c>
      <c r="O107" s="9">
        <v>2553</v>
      </c>
      <c r="P107" s="10"/>
      <c r="Q107" s="10"/>
      <c r="R107" s="10"/>
      <c r="S107" s="9"/>
      <c r="T107" s="9">
        <v>2553</v>
      </c>
    </row>
    <row r="108" spans="1:20" x14ac:dyDescent="0.35">
      <c r="A108" s="35" t="s">
        <v>11</v>
      </c>
      <c r="B108" s="4" t="s">
        <v>81</v>
      </c>
      <c r="C108" s="10">
        <v>1601.4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9">
        <v>1601.4</v>
      </c>
      <c r="P108" s="10"/>
      <c r="Q108" s="10"/>
      <c r="R108" s="10"/>
      <c r="S108" s="9"/>
      <c r="T108" s="9">
        <v>1601.4</v>
      </c>
    </row>
    <row r="109" spans="1:20" x14ac:dyDescent="0.35">
      <c r="A109" s="35" t="s">
        <v>11</v>
      </c>
      <c r="B109" s="4" t="s">
        <v>127</v>
      </c>
      <c r="C109" s="10"/>
      <c r="D109" s="10">
        <v>0</v>
      </c>
      <c r="E109" s="10"/>
      <c r="F109" s="10"/>
      <c r="G109" s="10"/>
      <c r="H109" s="10"/>
      <c r="I109" s="10"/>
      <c r="J109" s="10"/>
      <c r="K109" s="10"/>
      <c r="L109" s="10"/>
      <c r="M109" s="10">
        <v>1347</v>
      </c>
      <c r="N109" s="10"/>
      <c r="O109" s="9">
        <v>1347</v>
      </c>
      <c r="P109" s="10"/>
      <c r="Q109" s="10"/>
      <c r="R109" s="10"/>
      <c r="S109" s="9"/>
      <c r="T109" s="9">
        <v>1347</v>
      </c>
    </row>
    <row r="110" spans="1:20" x14ac:dyDescent="0.35">
      <c r="A110" s="35" t="s">
        <v>11</v>
      </c>
      <c r="B110" s="4" t="s">
        <v>134</v>
      </c>
      <c r="C110" s="10"/>
      <c r="D110" s="10">
        <v>0</v>
      </c>
      <c r="E110" s="10">
        <v>0</v>
      </c>
      <c r="F110" s="10">
        <v>0</v>
      </c>
      <c r="G110" s="10">
        <v>0</v>
      </c>
      <c r="H110" s="10">
        <v>1017</v>
      </c>
      <c r="I110" s="10"/>
      <c r="J110" s="10"/>
      <c r="K110" s="10"/>
      <c r="L110" s="10"/>
      <c r="M110" s="10"/>
      <c r="N110" s="10"/>
      <c r="O110" s="9">
        <v>1017</v>
      </c>
      <c r="P110" s="10"/>
      <c r="Q110" s="10"/>
      <c r="R110" s="10"/>
      <c r="S110" s="9"/>
      <c r="T110" s="9">
        <v>1017</v>
      </c>
    </row>
    <row r="111" spans="1:20" x14ac:dyDescent="0.35">
      <c r="A111" s="35" t="s">
        <v>11</v>
      </c>
      <c r="B111" s="4" t="s">
        <v>77</v>
      </c>
      <c r="C111" s="10">
        <v>903.13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9">
        <v>903.13</v>
      </c>
      <c r="P111" s="10"/>
      <c r="Q111" s="10"/>
      <c r="R111" s="10"/>
      <c r="S111" s="9"/>
      <c r="T111" s="9">
        <v>903.13</v>
      </c>
    </row>
    <row r="112" spans="1:20" x14ac:dyDescent="0.35">
      <c r="A112" s="35" t="s">
        <v>11</v>
      </c>
      <c r="B112" s="4" t="s">
        <v>80</v>
      </c>
      <c r="C112" s="10"/>
      <c r="D112" s="10">
        <v>0</v>
      </c>
      <c r="E112" s="10"/>
      <c r="F112" s="10"/>
      <c r="G112" s="10"/>
      <c r="H112" s="10"/>
      <c r="I112" s="10">
        <v>213.09</v>
      </c>
      <c r="J112" s="10"/>
      <c r="K112" s="10"/>
      <c r="L112" s="10"/>
      <c r="M112" s="10"/>
      <c r="N112" s="10"/>
      <c r="O112" s="9">
        <v>213.09</v>
      </c>
      <c r="P112" s="10"/>
      <c r="Q112" s="10"/>
      <c r="R112" s="10"/>
      <c r="S112" s="9"/>
      <c r="T112" s="9">
        <v>213.09</v>
      </c>
    </row>
    <row r="113" spans="1:20" x14ac:dyDescent="0.35">
      <c r="A113" s="35" t="s">
        <v>11</v>
      </c>
      <c r="B113" s="4" t="s">
        <v>87</v>
      </c>
      <c r="C113" s="10">
        <v>0</v>
      </c>
      <c r="D113" s="10">
        <v>0</v>
      </c>
      <c r="E113" s="10"/>
      <c r="F113" s="10"/>
      <c r="G113" s="10"/>
      <c r="H113" s="10"/>
      <c r="I113" s="10"/>
      <c r="J113" s="10"/>
      <c r="K113" s="10"/>
      <c r="L113" s="10"/>
      <c r="M113" s="10">
        <v>0</v>
      </c>
      <c r="N113" s="10"/>
      <c r="O113" s="9">
        <v>0</v>
      </c>
      <c r="P113" s="10"/>
      <c r="Q113" s="10"/>
      <c r="R113" s="10"/>
      <c r="S113" s="9"/>
      <c r="T113" s="9">
        <v>0</v>
      </c>
    </row>
    <row r="114" spans="1:20" x14ac:dyDescent="0.35">
      <c r="A114" s="35" t="s">
        <v>151</v>
      </c>
      <c r="B114" s="5" t="s">
        <v>10</v>
      </c>
      <c r="C114" s="9">
        <v>2453630.7599999998</v>
      </c>
      <c r="D114" s="9">
        <v>724874.37</v>
      </c>
      <c r="E114" s="9">
        <v>2454368.75</v>
      </c>
      <c r="F114" s="9">
        <v>3832530.8130000001</v>
      </c>
      <c r="G114" s="9">
        <v>1255765.6379999998</v>
      </c>
      <c r="H114" s="9">
        <v>2291980.0430000001</v>
      </c>
      <c r="I114" s="9">
        <v>3443646.1419999995</v>
      </c>
      <c r="J114" s="9">
        <v>3811214.9358000001</v>
      </c>
      <c r="K114" s="9">
        <v>5438787.0506999996</v>
      </c>
      <c r="L114" s="9">
        <v>7055862.4457</v>
      </c>
      <c r="M114" s="9">
        <v>3901975.9249999998</v>
      </c>
      <c r="N114" s="9">
        <v>3242052.0742999995</v>
      </c>
      <c r="O114" s="9">
        <v>39906688.947500005</v>
      </c>
      <c r="P114" s="9"/>
      <c r="Q114" s="9">
        <v>195983</v>
      </c>
      <c r="R114" s="9">
        <v>9654417.7300000004</v>
      </c>
      <c r="S114" s="9">
        <v>9850400.7300000004</v>
      </c>
      <c r="T114" s="9">
        <v>49757089.677499987</v>
      </c>
    </row>
    <row r="115" spans="1:20" x14ac:dyDescent="0.35">
      <c r="A115" s="35" t="s">
        <v>151</v>
      </c>
      <c r="B115" s="4" t="s">
        <v>174</v>
      </c>
      <c r="C115" s="10">
        <v>8388.2800000000007</v>
      </c>
      <c r="D115" s="10">
        <v>20652.54</v>
      </c>
      <c r="E115" s="10">
        <v>1330239.1200000001</v>
      </c>
      <c r="F115" s="10">
        <v>2250291.39</v>
      </c>
      <c r="G115" s="10">
        <v>100929.84</v>
      </c>
      <c r="H115" s="10">
        <v>15957.05</v>
      </c>
      <c r="I115" s="10">
        <v>1323933.2180999999</v>
      </c>
      <c r="J115" s="10">
        <v>15957.05</v>
      </c>
      <c r="K115" s="10">
        <v>455699.05060000002</v>
      </c>
      <c r="L115" s="10">
        <v>455699.05060000002</v>
      </c>
      <c r="M115" s="10">
        <v>375699</v>
      </c>
      <c r="N115" s="10"/>
      <c r="O115" s="9">
        <v>6353445.5893000001</v>
      </c>
      <c r="P115" s="10"/>
      <c r="Q115" s="10"/>
      <c r="R115" s="10"/>
      <c r="S115" s="9"/>
      <c r="T115" s="9">
        <v>6353445.5893000001</v>
      </c>
    </row>
    <row r="116" spans="1:20" x14ac:dyDescent="0.35">
      <c r="A116" s="35" t="s">
        <v>151</v>
      </c>
      <c r="B116" s="4" t="s">
        <v>153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164129.03750000001</v>
      </c>
      <c r="I116" s="10">
        <v>164129.03750000001</v>
      </c>
      <c r="J116" s="10">
        <v>682727</v>
      </c>
      <c r="K116" s="10">
        <v>682727</v>
      </c>
      <c r="L116" s="10">
        <v>846856.03749999998</v>
      </c>
      <c r="M116" s="10">
        <v>164129.03750000001</v>
      </c>
      <c r="N116" s="10">
        <v>0</v>
      </c>
      <c r="O116" s="9">
        <v>2704697.15</v>
      </c>
      <c r="P116" s="10"/>
      <c r="Q116" s="10"/>
      <c r="R116" s="10">
        <v>1751872.73</v>
      </c>
      <c r="S116" s="9">
        <v>1751872.73</v>
      </c>
      <c r="T116" s="9">
        <v>4456569.88</v>
      </c>
    </row>
    <row r="117" spans="1:20" x14ac:dyDescent="0.35">
      <c r="A117" s="35" t="s">
        <v>151</v>
      </c>
      <c r="B117" s="4" t="s">
        <v>154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128895.6667</v>
      </c>
      <c r="L117" s="10">
        <v>634208.66669999994</v>
      </c>
      <c r="M117" s="10">
        <v>500000</v>
      </c>
      <c r="N117" s="10">
        <v>128895.6667</v>
      </c>
      <c r="O117" s="9">
        <v>1392000.0001000001</v>
      </c>
      <c r="P117" s="10"/>
      <c r="Q117" s="10"/>
      <c r="R117" s="10">
        <v>1392000</v>
      </c>
      <c r="S117" s="9">
        <v>1392000</v>
      </c>
      <c r="T117" s="9">
        <v>2784000.0000999998</v>
      </c>
    </row>
    <row r="118" spans="1:20" x14ac:dyDescent="0.35">
      <c r="A118" s="35" t="s">
        <v>151</v>
      </c>
      <c r="B118" s="4" t="s">
        <v>208</v>
      </c>
      <c r="C118" s="10">
        <v>0</v>
      </c>
      <c r="D118" s="10">
        <v>41686.47</v>
      </c>
      <c r="E118" s="10">
        <v>3829.42</v>
      </c>
      <c r="F118" s="10">
        <v>105153.595</v>
      </c>
      <c r="G118" s="10">
        <v>121306.705</v>
      </c>
      <c r="H118" s="10"/>
      <c r="I118" s="10">
        <v>737760.91</v>
      </c>
      <c r="J118" s="10"/>
      <c r="K118" s="10"/>
      <c r="L118" s="10">
        <v>737760.91</v>
      </c>
      <c r="M118" s="10"/>
      <c r="N118" s="10">
        <v>737760.91</v>
      </c>
      <c r="O118" s="9">
        <v>2485258.9200000004</v>
      </c>
      <c r="P118" s="10"/>
      <c r="Q118" s="10"/>
      <c r="R118" s="10"/>
      <c r="S118" s="9"/>
      <c r="T118" s="9">
        <v>2485258.9200000004</v>
      </c>
    </row>
    <row r="119" spans="1:20" x14ac:dyDescent="0.35">
      <c r="A119" s="35" t="s">
        <v>151</v>
      </c>
      <c r="B119" s="4" t="s">
        <v>219</v>
      </c>
      <c r="C119" s="10">
        <v>0</v>
      </c>
      <c r="D119" s="10">
        <v>0</v>
      </c>
      <c r="E119" s="10">
        <v>0</v>
      </c>
      <c r="F119" s="10">
        <v>161281.3933</v>
      </c>
      <c r="G119" s="10">
        <v>18117.5733</v>
      </c>
      <c r="H119" s="10">
        <v>570821.73329999996</v>
      </c>
      <c r="I119" s="10">
        <v>0</v>
      </c>
      <c r="J119" s="10"/>
      <c r="K119" s="10">
        <v>861750</v>
      </c>
      <c r="L119" s="10">
        <v>0</v>
      </c>
      <c r="M119" s="10">
        <v>0</v>
      </c>
      <c r="N119" s="10">
        <v>860342</v>
      </c>
      <c r="O119" s="9">
        <v>2472312.6998999999</v>
      </c>
      <c r="P119" s="10"/>
      <c r="Q119" s="10"/>
      <c r="R119" s="10"/>
      <c r="S119" s="9"/>
      <c r="T119" s="9">
        <v>2472312.6998999999</v>
      </c>
    </row>
    <row r="120" spans="1:20" x14ac:dyDescent="0.35">
      <c r="A120" s="35" t="s">
        <v>151</v>
      </c>
      <c r="B120" s="4" t="s">
        <v>162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540000</v>
      </c>
      <c r="K120" s="10">
        <v>662365</v>
      </c>
      <c r="L120" s="10">
        <v>400000</v>
      </c>
      <c r="M120" s="10">
        <v>431113.28</v>
      </c>
      <c r="N120" s="10">
        <v>201113.28</v>
      </c>
      <c r="O120" s="9">
        <v>2234591.56</v>
      </c>
      <c r="P120" s="10"/>
      <c r="Q120" s="10"/>
      <c r="R120" s="10"/>
      <c r="S120" s="9"/>
      <c r="T120" s="9">
        <v>2234591.56</v>
      </c>
    </row>
    <row r="121" spans="1:20" x14ac:dyDescent="0.35">
      <c r="A121" s="35" t="s">
        <v>151</v>
      </c>
      <c r="B121" s="4" t="s">
        <v>168</v>
      </c>
      <c r="C121" s="10">
        <v>0</v>
      </c>
      <c r="D121" s="10">
        <v>0</v>
      </c>
      <c r="E121" s="10">
        <v>0</v>
      </c>
      <c r="F121" s="10">
        <v>88302.339900000006</v>
      </c>
      <c r="G121" s="10">
        <v>17409.7399</v>
      </c>
      <c r="H121" s="10">
        <v>17409.7399</v>
      </c>
      <c r="I121" s="10">
        <v>17409.7399</v>
      </c>
      <c r="J121" s="10">
        <v>201272.20799999998</v>
      </c>
      <c r="K121" s="10">
        <v>201272.20799999998</v>
      </c>
      <c r="L121" s="10">
        <v>130379.60799999999</v>
      </c>
      <c r="M121" s="10">
        <v>201272.20799999998</v>
      </c>
      <c r="N121" s="10">
        <v>201272.20799999998</v>
      </c>
      <c r="O121" s="9">
        <v>1075999.9996</v>
      </c>
      <c r="P121" s="10"/>
      <c r="Q121" s="10"/>
      <c r="R121" s="10">
        <v>1076000</v>
      </c>
      <c r="S121" s="9">
        <v>1076000</v>
      </c>
      <c r="T121" s="9">
        <v>2151999.9995999997</v>
      </c>
    </row>
    <row r="122" spans="1:20" x14ac:dyDescent="0.35">
      <c r="A122" s="35" t="s">
        <v>151</v>
      </c>
      <c r="B122" s="4" t="s">
        <v>169</v>
      </c>
      <c r="C122" s="10">
        <v>0</v>
      </c>
      <c r="D122" s="10">
        <v>0</v>
      </c>
      <c r="E122" s="10">
        <v>0</v>
      </c>
      <c r="F122" s="10">
        <v>17425.9303</v>
      </c>
      <c r="G122" s="10">
        <v>86873.930300000007</v>
      </c>
      <c r="H122" s="10">
        <v>86873.930300000007</v>
      </c>
      <c r="I122" s="10">
        <v>17425.9303</v>
      </c>
      <c r="J122" s="10">
        <v>17425.9303</v>
      </c>
      <c r="K122" s="10">
        <v>86873.930300000007</v>
      </c>
      <c r="L122" s="10">
        <v>275332.13939999999</v>
      </c>
      <c r="M122" s="10">
        <v>205884.13939999999</v>
      </c>
      <c r="N122" s="10">
        <v>205884.13939999999</v>
      </c>
      <c r="O122" s="9">
        <v>1000000</v>
      </c>
      <c r="P122" s="10"/>
      <c r="Q122" s="10"/>
      <c r="R122" s="10">
        <v>1000000</v>
      </c>
      <c r="S122" s="9">
        <v>1000000</v>
      </c>
      <c r="T122" s="9">
        <v>1999999.9999999993</v>
      </c>
    </row>
    <row r="123" spans="1:20" x14ac:dyDescent="0.35">
      <c r="A123" s="35" t="s">
        <v>151</v>
      </c>
      <c r="B123" s="4" t="s">
        <v>155</v>
      </c>
      <c r="C123" s="10">
        <v>0</v>
      </c>
      <c r="D123" s="10">
        <v>0</v>
      </c>
      <c r="E123" s="10">
        <v>0</v>
      </c>
      <c r="F123" s="10">
        <v>0</v>
      </c>
      <c r="G123" s="10">
        <v>18619</v>
      </c>
      <c r="H123" s="10">
        <v>0</v>
      </c>
      <c r="I123" s="10">
        <v>0</v>
      </c>
      <c r="J123" s="10">
        <v>350000</v>
      </c>
      <c r="K123" s="10">
        <v>300000</v>
      </c>
      <c r="L123" s="10">
        <v>0</v>
      </c>
      <c r="M123" s="10">
        <v>177082.94500000001</v>
      </c>
      <c r="N123" s="10">
        <v>136411.94500000001</v>
      </c>
      <c r="O123" s="9">
        <v>982113.89</v>
      </c>
      <c r="P123" s="10"/>
      <c r="Q123" s="10"/>
      <c r="R123" s="10">
        <v>982114</v>
      </c>
      <c r="S123" s="9">
        <v>982114</v>
      </c>
      <c r="T123" s="9">
        <v>1964227.8900000001</v>
      </c>
    </row>
    <row r="124" spans="1:20" x14ac:dyDescent="0.35">
      <c r="A124" s="35" t="s">
        <v>151</v>
      </c>
      <c r="B124" s="4" t="s">
        <v>170</v>
      </c>
      <c r="C124" s="10">
        <v>0</v>
      </c>
      <c r="D124" s="10">
        <v>0</v>
      </c>
      <c r="E124" s="10">
        <v>0</v>
      </c>
      <c r="F124" s="10">
        <v>51409.271399999998</v>
      </c>
      <c r="G124" s="10">
        <v>14733.6114</v>
      </c>
      <c r="H124" s="10">
        <v>91229.861399999994</v>
      </c>
      <c r="I124" s="10">
        <v>14733.6114</v>
      </c>
      <c r="J124" s="10">
        <v>14733.6114</v>
      </c>
      <c r="K124" s="10">
        <v>210735.90489999999</v>
      </c>
      <c r="L124" s="10">
        <v>210735.90489999999</v>
      </c>
      <c r="M124" s="10">
        <v>210735.90489999999</v>
      </c>
      <c r="N124" s="10">
        <v>134239.31830000001</v>
      </c>
      <c r="O124" s="9">
        <v>953286.99999999988</v>
      </c>
      <c r="P124" s="10"/>
      <c r="Q124" s="10"/>
      <c r="R124" s="10">
        <v>953287</v>
      </c>
      <c r="S124" s="9">
        <v>953287</v>
      </c>
      <c r="T124" s="9">
        <v>1906574</v>
      </c>
    </row>
    <row r="125" spans="1:20" x14ac:dyDescent="0.35">
      <c r="A125" s="35" t="s">
        <v>151</v>
      </c>
      <c r="B125" s="4" t="s">
        <v>165</v>
      </c>
      <c r="C125" s="10">
        <v>51754.54</v>
      </c>
      <c r="D125" s="10">
        <v>0</v>
      </c>
      <c r="E125" s="10">
        <v>110418.42</v>
      </c>
      <c r="F125" s="10">
        <v>127088.91499999999</v>
      </c>
      <c r="G125" s="10">
        <v>30110.415000000001</v>
      </c>
      <c r="H125" s="10">
        <v>30110.415000000001</v>
      </c>
      <c r="I125" s="10">
        <v>30110.415000000001</v>
      </c>
      <c r="J125" s="10"/>
      <c r="K125" s="10"/>
      <c r="L125" s="10">
        <v>756423</v>
      </c>
      <c r="M125" s="10">
        <v>756424</v>
      </c>
      <c r="N125" s="10">
        <v>0.01</v>
      </c>
      <c r="O125" s="9">
        <v>1892440.13</v>
      </c>
      <c r="P125" s="10"/>
      <c r="Q125" s="10"/>
      <c r="R125" s="10"/>
      <c r="S125" s="9"/>
      <c r="T125" s="9">
        <v>1892440.13</v>
      </c>
    </row>
    <row r="126" spans="1:20" x14ac:dyDescent="0.35">
      <c r="A126" s="35" t="s">
        <v>151</v>
      </c>
      <c r="B126" s="4" t="s">
        <v>215</v>
      </c>
      <c r="C126" s="10">
        <v>1050357.31</v>
      </c>
      <c r="D126" s="10">
        <v>0</v>
      </c>
      <c r="E126" s="10">
        <v>161794.69</v>
      </c>
      <c r="F126" s="10">
        <v>71217.97</v>
      </c>
      <c r="G126" s="10">
        <v>27534.22</v>
      </c>
      <c r="H126" s="10">
        <v>58034.22</v>
      </c>
      <c r="I126" s="10">
        <v>27534.22</v>
      </c>
      <c r="J126" s="10"/>
      <c r="K126" s="10">
        <v>266925</v>
      </c>
      <c r="L126" s="10"/>
      <c r="M126" s="10"/>
      <c r="N126" s="10"/>
      <c r="O126" s="9">
        <v>1663397.63</v>
      </c>
      <c r="P126" s="10"/>
      <c r="Q126" s="10"/>
      <c r="R126" s="10"/>
      <c r="S126" s="9"/>
      <c r="T126" s="9">
        <v>1663397.63</v>
      </c>
    </row>
    <row r="127" spans="1:20" x14ac:dyDescent="0.35">
      <c r="A127" s="35" t="s">
        <v>151</v>
      </c>
      <c r="B127" s="4" t="s">
        <v>176</v>
      </c>
      <c r="C127" s="10">
        <v>64530.19</v>
      </c>
      <c r="D127" s="10">
        <v>0</v>
      </c>
      <c r="E127" s="10">
        <v>0</v>
      </c>
      <c r="F127" s="10">
        <v>8.56</v>
      </c>
      <c r="G127" s="10">
        <v>42722.44</v>
      </c>
      <c r="H127" s="10"/>
      <c r="I127" s="10"/>
      <c r="J127" s="10">
        <v>495693.80670000002</v>
      </c>
      <c r="K127" s="10"/>
      <c r="L127" s="10">
        <v>495693.80670000002</v>
      </c>
      <c r="M127" s="10"/>
      <c r="N127" s="10">
        <v>495693.80670000002</v>
      </c>
      <c r="O127" s="9">
        <v>1594342.6101000002</v>
      </c>
      <c r="P127" s="10"/>
      <c r="Q127" s="10"/>
      <c r="R127" s="10"/>
      <c r="S127" s="9"/>
      <c r="T127" s="9">
        <v>1594342.6101000002</v>
      </c>
    </row>
    <row r="128" spans="1:20" x14ac:dyDescent="0.35">
      <c r="A128" s="35" t="s">
        <v>151</v>
      </c>
      <c r="B128" s="4" t="s">
        <v>173</v>
      </c>
      <c r="C128" s="10">
        <v>0</v>
      </c>
      <c r="D128" s="10">
        <v>0</v>
      </c>
      <c r="E128" s="10">
        <v>30240</v>
      </c>
      <c r="F128" s="10">
        <v>65468.275000000001</v>
      </c>
      <c r="G128" s="10">
        <v>0</v>
      </c>
      <c r="H128" s="10">
        <v>65468.275000000001</v>
      </c>
      <c r="I128" s="10"/>
      <c r="J128" s="10">
        <v>644903</v>
      </c>
      <c r="K128" s="10">
        <v>0</v>
      </c>
      <c r="L128" s="10"/>
      <c r="M128" s="10">
        <v>644903</v>
      </c>
      <c r="N128" s="10"/>
      <c r="O128" s="9">
        <v>1450982.55</v>
      </c>
      <c r="P128" s="10"/>
      <c r="Q128" s="10"/>
      <c r="R128" s="10"/>
      <c r="S128" s="9"/>
      <c r="T128" s="9">
        <v>1450982.55</v>
      </c>
    </row>
    <row r="129" spans="1:20" x14ac:dyDescent="0.35">
      <c r="A129" s="35" t="s">
        <v>151</v>
      </c>
      <c r="B129" s="4" t="s">
        <v>194</v>
      </c>
      <c r="C129" s="10">
        <v>0</v>
      </c>
      <c r="D129" s="10">
        <v>0</v>
      </c>
      <c r="E129" s="10">
        <v>0</v>
      </c>
      <c r="F129" s="10">
        <v>0</v>
      </c>
      <c r="G129" s="10">
        <v>97991.5</v>
      </c>
      <c r="H129" s="10">
        <v>203491.5</v>
      </c>
      <c r="I129" s="10">
        <v>0</v>
      </c>
      <c r="J129" s="10">
        <v>20000</v>
      </c>
      <c r="K129" s="10">
        <v>492700</v>
      </c>
      <c r="L129" s="10">
        <v>420000</v>
      </c>
      <c r="M129" s="10">
        <v>143317</v>
      </c>
      <c r="N129" s="10">
        <v>0</v>
      </c>
      <c r="O129" s="9">
        <v>1377500</v>
      </c>
      <c r="P129" s="10"/>
      <c r="Q129" s="10"/>
      <c r="R129" s="10">
        <v>0</v>
      </c>
      <c r="S129" s="9">
        <v>0</v>
      </c>
      <c r="T129" s="9">
        <v>1377500</v>
      </c>
    </row>
    <row r="130" spans="1:20" x14ac:dyDescent="0.35">
      <c r="A130" s="35" t="s">
        <v>151</v>
      </c>
      <c r="B130" s="4" t="s">
        <v>187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9">
        <v>0</v>
      </c>
      <c r="P130" s="10"/>
      <c r="Q130" s="10">
        <v>195983</v>
      </c>
      <c r="R130" s="10">
        <v>1181517</v>
      </c>
      <c r="S130" s="9">
        <v>1377500</v>
      </c>
      <c r="T130" s="9">
        <v>1377500</v>
      </c>
    </row>
    <row r="131" spans="1:20" x14ac:dyDescent="0.35">
      <c r="A131" s="35" t="s">
        <v>151</v>
      </c>
      <c r="B131" s="4" t="s">
        <v>195</v>
      </c>
      <c r="C131" s="10">
        <v>52217.98</v>
      </c>
      <c r="D131" s="10">
        <v>33039.199999999997</v>
      </c>
      <c r="E131" s="10">
        <v>310282.82999999996</v>
      </c>
      <c r="F131" s="10">
        <v>155097.15330000001</v>
      </c>
      <c r="G131" s="10">
        <v>158067.51329999999</v>
      </c>
      <c r="H131" s="10">
        <v>187266.19329999998</v>
      </c>
      <c r="I131" s="10">
        <v>62000</v>
      </c>
      <c r="J131" s="10"/>
      <c r="K131" s="10">
        <v>250000</v>
      </c>
      <c r="L131" s="10">
        <v>108000</v>
      </c>
      <c r="M131" s="10"/>
      <c r="N131" s="10">
        <v>1637.38</v>
      </c>
      <c r="O131" s="9">
        <v>1317608.2498999999</v>
      </c>
      <c r="P131" s="10"/>
      <c r="Q131" s="10"/>
      <c r="R131" s="10"/>
      <c r="S131" s="9"/>
      <c r="T131" s="9">
        <v>1317608.2498999999</v>
      </c>
    </row>
    <row r="132" spans="1:20" x14ac:dyDescent="0.35">
      <c r="A132" s="35" t="s">
        <v>151</v>
      </c>
      <c r="B132" s="4" t="s">
        <v>159</v>
      </c>
      <c r="C132" s="10">
        <v>246611.67</v>
      </c>
      <c r="D132" s="10">
        <v>150768.64000000001</v>
      </c>
      <c r="E132" s="10">
        <v>119118.19</v>
      </c>
      <c r="F132" s="10">
        <v>110639.07</v>
      </c>
      <c r="G132" s="10">
        <v>85867.430000000008</v>
      </c>
      <c r="H132" s="10">
        <v>275223.125</v>
      </c>
      <c r="I132" s="10"/>
      <c r="J132" s="10"/>
      <c r="K132" s="10">
        <v>275223.125</v>
      </c>
      <c r="L132" s="10"/>
      <c r="M132" s="10"/>
      <c r="N132" s="10"/>
      <c r="O132" s="9">
        <v>1263451.25</v>
      </c>
      <c r="P132" s="10"/>
      <c r="Q132" s="10"/>
      <c r="R132" s="10"/>
      <c r="S132" s="9"/>
      <c r="T132" s="9">
        <v>1263451.25</v>
      </c>
    </row>
    <row r="133" spans="1:20" x14ac:dyDescent="0.35">
      <c r="A133" s="35" t="s">
        <v>151</v>
      </c>
      <c r="B133" s="4" t="s">
        <v>179</v>
      </c>
      <c r="C133" s="10">
        <v>0</v>
      </c>
      <c r="D133" s="10">
        <v>30000</v>
      </c>
      <c r="E133" s="10">
        <v>9395</v>
      </c>
      <c r="F133" s="10">
        <v>8800</v>
      </c>
      <c r="G133" s="10">
        <v>68295.34</v>
      </c>
      <c r="H133" s="10"/>
      <c r="I133" s="10"/>
      <c r="J133" s="10">
        <v>448151.00670000003</v>
      </c>
      <c r="K133" s="10"/>
      <c r="L133" s="10">
        <v>448151.00670000003</v>
      </c>
      <c r="M133" s="10"/>
      <c r="N133" s="10">
        <v>98151</v>
      </c>
      <c r="O133" s="9">
        <v>1110943.3533999999</v>
      </c>
      <c r="P133" s="10"/>
      <c r="Q133" s="10"/>
      <c r="R133" s="10"/>
      <c r="S133" s="9"/>
      <c r="T133" s="9">
        <v>1110943.3533999999</v>
      </c>
    </row>
    <row r="134" spans="1:20" x14ac:dyDescent="0.35">
      <c r="A134" s="35" t="s">
        <v>151</v>
      </c>
      <c r="B134" s="4" t="s">
        <v>184</v>
      </c>
      <c r="C134" s="10">
        <v>38141.120000000003</v>
      </c>
      <c r="D134" s="10">
        <v>0</v>
      </c>
      <c r="E134" s="10">
        <v>83237.19</v>
      </c>
      <c r="F134" s="10">
        <v>207040.29250000001</v>
      </c>
      <c r="G134" s="10">
        <v>31005.412499999999</v>
      </c>
      <c r="H134" s="10"/>
      <c r="I134" s="10">
        <v>321013.34250000003</v>
      </c>
      <c r="J134" s="10">
        <v>22304.342499999999</v>
      </c>
      <c r="K134" s="10"/>
      <c r="L134" s="10">
        <v>377805.28499999997</v>
      </c>
      <c r="M134" s="10"/>
      <c r="N134" s="10"/>
      <c r="O134" s="9">
        <v>1080546.9850000001</v>
      </c>
      <c r="P134" s="10"/>
      <c r="Q134" s="10"/>
      <c r="R134" s="10"/>
      <c r="S134" s="9"/>
      <c r="T134" s="9">
        <v>1080546.9850000001</v>
      </c>
    </row>
    <row r="135" spans="1:20" x14ac:dyDescent="0.35">
      <c r="A135" s="35" t="s">
        <v>151</v>
      </c>
      <c r="B135" s="4" t="s">
        <v>156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43767.78</v>
      </c>
      <c r="I135" s="10">
        <v>43767.78</v>
      </c>
      <c r="J135" s="10">
        <v>43767.78</v>
      </c>
      <c r="K135" s="10">
        <v>0</v>
      </c>
      <c r="L135" s="10">
        <v>0</v>
      </c>
      <c r="M135" s="10">
        <v>0</v>
      </c>
      <c r="N135" s="10">
        <v>0</v>
      </c>
      <c r="O135" s="9">
        <v>131303.34</v>
      </c>
      <c r="P135" s="10"/>
      <c r="Q135" s="10"/>
      <c r="R135" s="10">
        <v>814031</v>
      </c>
      <c r="S135" s="9">
        <v>814031</v>
      </c>
      <c r="T135" s="9">
        <v>945334.34</v>
      </c>
    </row>
    <row r="136" spans="1:20" x14ac:dyDescent="0.35">
      <c r="A136" s="35" t="s">
        <v>151</v>
      </c>
      <c r="B136" s="4" t="s">
        <v>207</v>
      </c>
      <c r="C136" s="10">
        <v>1720</v>
      </c>
      <c r="D136" s="10">
        <v>111971.8</v>
      </c>
      <c r="E136" s="10">
        <v>21823.11</v>
      </c>
      <c r="F136" s="10">
        <v>88005</v>
      </c>
      <c r="G136" s="10">
        <v>19668.400000000001</v>
      </c>
      <c r="H136" s="10">
        <v>97369</v>
      </c>
      <c r="I136" s="10">
        <v>0</v>
      </c>
      <c r="J136" s="10">
        <v>21010</v>
      </c>
      <c r="K136" s="10">
        <v>128467</v>
      </c>
      <c r="L136" s="10">
        <v>155242</v>
      </c>
      <c r="M136" s="10">
        <v>21776</v>
      </c>
      <c r="N136" s="10">
        <v>4511</v>
      </c>
      <c r="O136" s="9">
        <v>671563.31</v>
      </c>
      <c r="P136" s="10"/>
      <c r="Q136" s="10"/>
      <c r="R136" s="10"/>
      <c r="S136" s="9"/>
      <c r="T136" s="9">
        <v>671563.31</v>
      </c>
    </row>
    <row r="137" spans="1:20" x14ac:dyDescent="0.35">
      <c r="A137" s="35" t="s">
        <v>151</v>
      </c>
      <c r="B137" s="4" t="s">
        <v>172</v>
      </c>
      <c r="C137" s="10">
        <v>25343.62</v>
      </c>
      <c r="D137" s="10">
        <v>3425.51</v>
      </c>
      <c r="E137" s="10">
        <v>34055</v>
      </c>
      <c r="F137" s="10">
        <v>48677.19</v>
      </c>
      <c r="G137" s="10">
        <v>57242.080000000002</v>
      </c>
      <c r="H137" s="10">
        <v>258633.745</v>
      </c>
      <c r="I137" s="10"/>
      <c r="J137" s="10"/>
      <c r="K137" s="10">
        <v>239801.755</v>
      </c>
      <c r="L137" s="10"/>
      <c r="M137" s="10"/>
      <c r="N137" s="10"/>
      <c r="O137" s="9">
        <v>667178.9</v>
      </c>
      <c r="P137" s="10"/>
      <c r="Q137" s="10"/>
      <c r="R137" s="10"/>
      <c r="S137" s="9"/>
      <c r="T137" s="9">
        <v>667178.9</v>
      </c>
    </row>
    <row r="138" spans="1:20" x14ac:dyDescent="0.35">
      <c r="A138" s="35" t="s">
        <v>151</v>
      </c>
      <c r="B138" s="4" t="s">
        <v>166</v>
      </c>
      <c r="C138" s="10">
        <v>495047.12</v>
      </c>
      <c r="D138" s="10">
        <v>0</v>
      </c>
      <c r="E138" s="10">
        <v>0</v>
      </c>
      <c r="F138" s="10">
        <v>149469.06</v>
      </c>
      <c r="G138" s="10">
        <v>4221.47</v>
      </c>
      <c r="H138" s="10"/>
      <c r="I138" s="10"/>
      <c r="J138" s="10"/>
      <c r="K138" s="10"/>
      <c r="L138" s="10"/>
      <c r="M138" s="10"/>
      <c r="N138" s="10"/>
      <c r="O138" s="9">
        <v>648737.64999999991</v>
      </c>
      <c r="P138" s="10"/>
      <c r="Q138" s="10"/>
      <c r="R138" s="10"/>
      <c r="S138" s="9"/>
      <c r="T138" s="9">
        <v>648737.64999999991</v>
      </c>
    </row>
    <row r="139" spans="1:20" x14ac:dyDescent="0.35">
      <c r="A139" s="35" t="s">
        <v>151</v>
      </c>
      <c r="B139" s="4" t="s">
        <v>193</v>
      </c>
      <c r="C139" s="10">
        <v>0</v>
      </c>
      <c r="D139" s="10">
        <v>0</v>
      </c>
      <c r="E139" s="10"/>
      <c r="F139" s="10"/>
      <c r="G139" s="10"/>
      <c r="H139" s="10">
        <v>36700</v>
      </c>
      <c r="I139" s="10">
        <v>0</v>
      </c>
      <c r="J139" s="10">
        <v>102700</v>
      </c>
      <c r="K139" s="10">
        <v>130900</v>
      </c>
      <c r="L139" s="10">
        <v>216000</v>
      </c>
      <c r="M139" s="10"/>
      <c r="N139" s="10"/>
      <c r="O139" s="9">
        <v>486300</v>
      </c>
      <c r="P139" s="10"/>
      <c r="Q139" s="10"/>
      <c r="R139" s="10"/>
      <c r="S139" s="9"/>
      <c r="T139" s="9">
        <v>486300</v>
      </c>
    </row>
    <row r="140" spans="1:20" x14ac:dyDescent="0.35">
      <c r="A140" s="35" t="s">
        <v>151</v>
      </c>
      <c r="B140" s="4" t="s">
        <v>216</v>
      </c>
      <c r="C140" s="10">
        <v>-23.5</v>
      </c>
      <c r="D140" s="10">
        <v>0</v>
      </c>
      <c r="E140" s="10">
        <v>0</v>
      </c>
      <c r="F140" s="10">
        <v>19095.8</v>
      </c>
      <c r="G140" s="10"/>
      <c r="H140" s="10"/>
      <c r="I140" s="10">
        <v>385013.18</v>
      </c>
      <c r="J140" s="10"/>
      <c r="K140" s="10"/>
      <c r="L140" s="10"/>
      <c r="M140" s="10"/>
      <c r="N140" s="10"/>
      <c r="O140" s="9">
        <v>404085.48</v>
      </c>
      <c r="P140" s="10"/>
      <c r="Q140" s="10"/>
      <c r="R140" s="10"/>
      <c r="S140" s="9"/>
      <c r="T140" s="9">
        <v>404085.48</v>
      </c>
    </row>
    <row r="141" spans="1:20" x14ac:dyDescent="0.35">
      <c r="A141" s="35" t="s">
        <v>151</v>
      </c>
      <c r="B141" s="4" t="s">
        <v>171</v>
      </c>
      <c r="C141" s="10">
        <v>0</v>
      </c>
      <c r="D141" s="10">
        <v>0</v>
      </c>
      <c r="E141" s="10">
        <v>0</v>
      </c>
      <c r="F141" s="10">
        <v>4825.7372999999998</v>
      </c>
      <c r="G141" s="10">
        <v>4825.7372999999998</v>
      </c>
      <c r="H141" s="10">
        <v>4825.7372999999998</v>
      </c>
      <c r="I141" s="10">
        <v>4825.7372999999998</v>
      </c>
      <c r="J141" s="10">
        <v>36139.410199999998</v>
      </c>
      <c r="K141" s="10">
        <v>36139.410199999998</v>
      </c>
      <c r="L141" s="10">
        <v>36139.410199999998</v>
      </c>
      <c r="M141" s="10">
        <v>36139.410199999998</v>
      </c>
      <c r="N141" s="10">
        <v>36139.410199999998</v>
      </c>
      <c r="O141" s="9">
        <v>200000.00020000001</v>
      </c>
      <c r="P141" s="10"/>
      <c r="Q141" s="10"/>
      <c r="R141" s="10">
        <v>200000</v>
      </c>
      <c r="S141" s="9">
        <v>200000</v>
      </c>
      <c r="T141" s="9">
        <v>400000.00019999995</v>
      </c>
    </row>
    <row r="142" spans="1:20" x14ac:dyDescent="0.35">
      <c r="A142" s="35" t="s">
        <v>151</v>
      </c>
      <c r="B142" s="4" t="s">
        <v>217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296400</v>
      </c>
      <c r="M142" s="10">
        <v>0</v>
      </c>
      <c r="N142" s="10">
        <v>0</v>
      </c>
      <c r="O142" s="9">
        <v>296400</v>
      </c>
      <c r="P142" s="10"/>
      <c r="Q142" s="10"/>
      <c r="R142" s="10"/>
      <c r="S142" s="9"/>
      <c r="T142" s="9">
        <v>296400</v>
      </c>
    </row>
    <row r="143" spans="1:20" x14ac:dyDescent="0.35">
      <c r="A143" s="35" t="s">
        <v>151</v>
      </c>
      <c r="B143" s="4" t="s">
        <v>161</v>
      </c>
      <c r="C143" s="10">
        <v>116837</v>
      </c>
      <c r="D143" s="10">
        <v>65625</v>
      </c>
      <c r="E143" s="10">
        <v>0</v>
      </c>
      <c r="F143" s="10">
        <v>10349.6</v>
      </c>
      <c r="G143" s="10">
        <v>19779.599999999999</v>
      </c>
      <c r="H143" s="10">
        <v>19779.599999999999</v>
      </c>
      <c r="I143" s="10">
        <v>19779.599999999999</v>
      </c>
      <c r="J143" s="10"/>
      <c r="K143" s="10">
        <v>28312</v>
      </c>
      <c r="L143" s="10"/>
      <c r="M143" s="10"/>
      <c r="N143" s="10"/>
      <c r="O143" s="9">
        <v>280462.40000000002</v>
      </c>
      <c r="P143" s="10"/>
      <c r="Q143" s="10"/>
      <c r="R143" s="10"/>
      <c r="S143" s="9"/>
      <c r="T143" s="9">
        <v>280462.40000000002</v>
      </c>
    </row>
    <row r="144" spans="1:20" x14ac:dyDescent="0.35">
      <c r="A144" s="35" t="s">
        <v>151</v>
      </c>
      <c r="B144" s="4" t="s">
        <v>157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9">
        <v>0</v>
      </c>
      <c r="P144" s="10"/>
      <c r="Q144" s="10"/>
      <c r="R144" s="10">
        <v>270096</v>
      </c>
      <c r="S144" s="9">
        <v>270096</v>
      </c>
      <c r="T144" s="9">
        <v>270096</v>
      </c>
    </row>
    <row r="145" spans="1:20" x14ac:dyDescent="0.35">
      <c r="A145" s="35" t="s">
        <v>151</v>
      </c>
      <c r="B145" s="4" t="s">
        <v>163</v>
      </c>
      <c r="C145" s="10">
        <v>3853.46</v>
      </c>
      <c r="D145" s="10">
        <v>10771.24</v>
      </c>
      <c r="E145" s="10">
        <v>7961.45</v>
      </c>
      <c r="F145" s="10"/>
      <c r="G145" s="10">
        <v>98078.75</v>
      </c>
      <c r="H145" s="10"/>
      <c r="I145" s="10"/>
      <c r="J145" s="10">
        <v>44580.62</v>
      </c>
      <c r="K145" s="10"/>
      <c r="L145" s="10">
        <v>44580.62</v>
      </c>
      <c r="M145" s="10"/>
      <c r="N145" s="10"/>
      <c r="O145" s="9">
        <v>209826.13999999998</v>
      </c>
      <c r="P145" s="10"/>
      <c r="Q145" s="10"/>
      <c r="R145" s="10"/>
      <c r="S145" s="9"/>
      <c r="T145" s="9">
        <v>209826.13999999998</v>
      </c>
    </row>
    <row r="146" spans="1:20" x14ac:dyDescent="0.35">
      <c r="A146" s="35" t="s">
        <v>151</v>
      </c>
      <c r="B146" s="4" t="s">
        <v>192</v>
      </c>
      <c r="C146" s="10">
        <v>128625.84</v>
      </c>
      <c r="D146" s="10">
        <v>0</v>
      </c>
      <c r="E146" s="10">
        <v>0</v>
      </c>
      <c r="F146" s="10"/>
      <c r="G146" s="10">
        <v>43300</v>
      </c>
      <c r="H146" s="10"/>
      <c r="I146" s="10">
        <v>0</v>
      </c>
      <c r="J146" s="10">
        <v>17395</v>
      </c>
      <c r="K146" s="10"/>
      <c r="L146" s="10">
        <v>0</v>
      </c>
      <c r="M146" s="10"/>
      <c r="N146" s="10"/>
      <c r="O146" s="9">
        <v>189320.84</v>
      </c>
      <c r="P146" s="10"/>
      <c r="Q146" s="10"/>
      <c r="R146" s="10"/>
      <c r="S146" s="9"/>
      <c r="T146" s="9">
        <v>189320.84</v>
      </c>
    </row>
    <row r="147" spans="1:20" x14ac:dyDescent="0.35">
      <c r="A147" s="35" t="s">
        <v>151</v>
      </c>
      <c r="B147" s="4" t="s">
        <v>198</v>
      </c>
      <c r="C147" s="10">
        <v>84999.99</v>
      </c>
      <c r="D147" s="10">
        <v>0</v>
      </c>
      <c r="E147" s="10">
        <v>68376.92</v>
      </c>
      <c r="F147" s="10">
        <v>5412.33</v>
      </c>
      <c r="G147" s="10">
        <v>14960.4</v>
      </c>
      <c r="H147" s="10">
        <v>5412.33</v>
      </c>
      <c r="I147" s="10">
        <v>680.58</v>
      </c>
      <c r="J147" s="10"/>
      <c r="K147" s="10"/>
      <c r="L147" s="10"/>
      <c r="M147" s="10"/>
      <c r="N147" s="10"/>
      <c r="O147" s="9">
        <v>179842.54999999996</v>
      </c>
      <c r="P147" s="10"/>
      <c r="Q147" s="10"/>
      <c r="R147" s="10"/>
      <c r="S147" s="9"/>
      <c r="T147" s="9">
        <v>179842.54999999996</v>
      </c>
    </row>
    <row r="148" spans="1:20" x14ac:dyDescent="0.35">
      <c r="A148" s="35" t="s">
        <v>151</v>
      </c>
      <c r="B148" s="4" t="s">
        <v>158</v>
      </c>
      <c r="C148" s="10">
        <v>54407.95</v>
      </c>
      <c r="D148" s="10">
        <v>1148.92</v>
      </c>
      <c r="E148" s="10">
        <v>54012</v>
      </c>
      <c r="F148" s="10">
        <v>23454</v>
      </c>
      <c r="G148" s="10">
        <v>11418.63</v>
      </c>
      <c r="H148" s="10">
        <v>24632</v>
      </c>
      <c r="I148" s="10"/>
      <c r="J148" s="10"/>
      <c r="K148" s="10">
        <v>0</v>
      </c>
      <c r="L148" s="10"/>
      <c r="M148" s="10"/>
      <c r="N148" s="10"/>
      <c r="O148" s="9">
        <v>169073.5</v>
      </c>
      <c r="P148" s="10"/>
      <c r="Q148" s="10"/>
      <c r="R148" s="10"/>
      <c r="S148" s="9"/>
      <c r="T148" s="9">
        <v>169073.5</v>
      </c>
    </row>
    <row r="149" spans="1:20" x14ac:dyDescent="0.35">
      <c r="A149" s="35" t="s">
        <v>151</v>
      </c>
      <c r="B149" s="4" t="s">
        <v>180</v>
      </c>
      <c r="C149" s="10"/>
      <c r="D149" s="10">
        <v>152716.35</v>
      </c>
      <c r="E149" s="10">
        <v>0</v>
      </c>
      <c r="F149" s="10">
        <v>0</v>
      </c>
      <c r="G149" s="10">
        <v>15690.61</v>
      </c>
      <c r="H149" s="10"/>
      <c r="I149" s="10"/>
      <c r="J149" s="10"/>
      <c r="K149" s="10"/>
      <c r="L149" s="10"/>
      <c r="M149" s="10"/>
      <c r="N149" s="10"/>
      <c r="O149" s="9">
        <v>168406.96000000002</v>
      </c>
      <c r="P149" s="10"/>
      <c r="Q149" s="10"/>
      <c r="R149" s="10"/>
      <c r="S149" s="9"/>
      <c r="T149" s="9">
        <v>168406.96000000002</v>
      </c>
    </row>
    <row r="150" spans="1:20" x14ac:dyDescent="0.35">
      <c r="A150" s="35" t="s">
        <v>151</v>
      </c>
      <c r="B150" s="4" t="s">
        <v>199</v>
      </c>
      <c r="C150" s="10">
        <v>20558.150000000001</v>
      </c>
      <c r="D150" s="10">
        <v>0</v>
      </c>
      <c r="E150" s="10">
        <v>40080</v>
      </c>
      <c r="F150" s="10">
        <v>34563.57</v>
      </c>
      <c r="G150" s="10">
        <v>27941.77</v>
      </c>
      <c r="H150" s="10">
        <v>14666.77</v>
      </c>
      <c r="I150" s="10">
        <v>19000</v>
      </c>
      <c r="J150" s="10"/>
      <c r="K150" s="10">
        <v>0</v>
      </c>
      <c r="L150" s="10"/>
      <c r="M150" s="10"/>
      <c r="N150" s="10"/>
      <c r="O150" s="9">
        <v>156810.26</v>
      </c>
      <c r="P150" s="10"/>
      <c r="Q150" s="10"/>
      <c r="R150" s="10"/>
      <c r="S150" s="9"/>
      <c r="T150" s="9">
        <v>156810.26</v>
      </c>
    </row>
    <row r="151" spans="1:20" x14ac:dyDescent="0.35">
      <c r="A151" s="35" t="s">
        <v>151</v>
      </c>
      <c r="B151" s="4" t="s">
        <v>182</v>
      </c>
      <c r="C151" s="10"/>
      <c r="D151" s="10">
        <v>137873.53</v>
      </c>
      <c r="E151" s="10">
        <v>0</v>
      </c>
      <c r="F151" s="10"/>
      <c r="G151" s="10"/>
      <c r="H151" s="10"/>
      <c r="I151" s="10">
        <v>0</v>
      </c>
      <c r="J151" s="10"/>
      <c r="K151" s="10"/>
      <c r="L151" s="10"/>
      <c r="M151" s="10"/>
      <c r="N151" s="10"/>
      <c r="O151" s="9">
        <v>137873.53</v>
      </c>
      <c r="P151" s="10"/>
      <c r="Q151" s="10"/>
      <c r="R151" s="10"/>
      <c r="S151" s="9"/>
      <c r="T151" s="9">
        <v>137873.53</v>
      </c>
    </row>
    <row r="152" spans="1:20" x14ac:dyDescent="0.35">
      <c r="A152" s="35" t="s">
        <v>151</v>
      </c>
      <c r="B152" s="4" t="s">
        <v>185</v>
      </c>
      <c r="C152" s="10"/>
      <c r="D152" s="10">
        <v>-34804.83</v>
      </c>
      <c r="E152" s="10">
        <v>0</v>
      </c>
      <c r="F152" s="10"/>
      <c r="G152" s="10"/>
      <c r="H152" s="10"/>
      <c r="I152" s="10">
        <v>131474.82999999999</v>
      </c>
      <c r="J152" s="10"/>
      <c r="K152" s="10"/>
      <c r="L152" s="10"/>
      <c r="M152" s="10"/>
      <c r="N152" s="10"/>
      <c r="O152" s="9">
        <v>96669.999999999985</v>
      </c>
      <c r="P152" s="10"/>
      <c r="Q152" s="10"/>
      <c r="R152" s="10"/>
      <c r="S152" s="9"/>
      <c r="T152" s="9">
        <v>96669.999999999985</v>
      </c>
    </row>
    <row r="153" spans="1:20" x14ac:dyDescent="0.35">
      <c r="A153" s="35" t="s">
        <v>151</v>
      </c>
      <c r="B153" s="4" t="s">
        <v>218</v>
      </c>
      <c r="C153" s="10">
        <v>0</v>
      </c>
      <c r="D153" s="10">
        <v>0</v>
      </c>
      <c r="E153" s="10"/>
      <c r="F153" s="10"/>
      <c r="G153" s="10"/>
      <c r="H153" s="10"/>
      <c r="I153" s="10"/>
      <c r="J153" s="10">
        <v>92454.17</v>
      </c>
      <c r="K153" s="10"/>
      <c r="L153" s="10"/>
      <c r="M153" s="10"/>
      <c r="N153" s="10"/>
      <c r="O153" s="9">
        <v>92454.17</v>
      </c>
      <c r="P153" s="10"/>
      <c r="Q153" s="10"/>
      <c r="R153" s="10"/>
      <c r="S153" s="9"/>
      <c r="T153" s="9">
        <v>92454.17</v>
      </c>
    </row>
    <row r="154" spans="1:20" x14ac:dyDescent="0.35">
      <c r="A154" s="35" t="s">
        <v>151</v>
      </c>
      <c r="B154" s="4" t="s">
        <v>178</v>
      </c>
      <c r="C154" s="10"/>
      <c r="D154" s="10">
        <v>0</v>
      </c>
      <c r="E154" s="10">
        <v>69505.41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9">
        <v>69505.41</v>
      </c>
      <c r="P154" s="10"/>
      <c r="Q154" s="10"/>
      <c r="R154" s="10"/>
      <c r="S154" s="9"/>
      <c r="T154" s="9">
        <v>69505.41</v>
      </c>
    </row>
    <row r="155" spans="1:20" x14ac:dyDescent="0.35">
      <c r="A155" s="35" t="s">
        <v>151</v>
      </c>
      <c r="B155" s="4" t="s">
        <v>183</v>
      </c>
      <c r="C155" s="10">
        <v>0</v>
      </c>
      <c r="D155" s="10">
        <v>0</v>
      </c>
      <c r="E155" s="10">
        <v>0</v>
      </c>
      <c r="F155" s="10"/>
      <c r="G155" s="10"/>
      <c r="H155" s="10"/>
      <c r="I155" s="10">
        <v>54846.57</v>
      </c>
      <c r="J155" s="10"/>
      <c r="K155" s="10"/>
      <c r="L155" s="10"/>
      <c r="M155" s="10"/>
      <c r="N155" s="10"/>
      <c r="O155" s="9">
        <v>54846.57</v>
      </c>
      <c r="P155" s="10"/>
      <c r="Q155" s="10"/>
      <c r="R155" s="10"/>
      <c r="S155" s="9"/>
      <c r="T155" s="9">
        <v>54846.57</v>
      </c>
    </row>
    <row r="156" spans="1:20" x14ac:dyDescent="0.35">
      <c r="A156" s="35" t="s">
        <v>151</v>
      </c>
      <c r="B156" s="4" t="s">
        <v>177</v>
      </c>
      <c r="C156" s="10"/>
      <c r="D156" s="10">
        <v>0</v>
      </c>
      <c r="E156" s="10">
        <v>0</v>
      </c>
      <c r="F156" s="10">
        <v>13854.37</v>
      </c>
      <c r="G156" s="10">
        <v>13854.37</v>
      </c>
      <c r="H156" s="10"/>
      <c r="I156" s="10">
        <v>0</v>
      </c>
      <c r="J156" s="10"/>
      <c r="K156" s="10"/>
      <c r="L156" s="10">
        <v>10455</v>
      </c>
      <c r="M156" s="10"/>
      <c r="N156" s="10"/>
      <c r="O156" s="9">
        <v>38163.740000000005</v>
      </c>
      <c r="P156" s="10"/>
      <c r="Q156" s="10"/>
      <c r="R156" s="10"/>
      <c r="S156" s="9"/>
      <c r="T156" s="9">
        <v>38163.740000000005</v>
      </c>
    </row>
    <row r="157" spans="1:20" x14ac:dyDescent="0.35">
      <c r="A157" s="35" t="s">
        <v>151</v>
      </c>
      <c r="B157" s="4" t="s">
        <v>188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9">
        <v>0</v>
      </c>
      <c r="P157" s="10"/>
      <c r="Q157" s="10"/>
      <c r="R157" s="10">
        <v>33500</v>
      </c>
      <c r="S157" s="9">
        <v>33500</v>
      </c>
      <c r="T157" s="9">
        <v>33500</v>
      </c>
    </row>
    <row r="158" spans="1:20" x14ac:dyDescent="0.35">
      <c r="A158" s="35" t="s">
        <v>151</v>
      </c>
      <c r="B158" s="4" t="s">
        <v>197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33500</v>
      </c>
      <c r="N158" s="10">
        <v>0</v>
      </c>
      <c r="O158" s="9">
        <v>33500</v>
      </c>
      <c r="P158" s="10"/>
      <c r="Q158" s="10"/>
      <c r="R158" s="10">
        <v>0</v>
      </c>
      <c r="S158" s="9">
        <v>0</v>
      </c>
      <c r="T158" s="9">
        <v>33500</v>
      </c>
    </row>
    <row r="159" spans="1:20" x14ac:dyDescent="0.35">
      <c r="A159" s="35" t="s">
        <v>151</v>
      </c>
      <c r="B159" s="4" t="s">
        <v>189</v>
      </c>
      <c r="C159" s="10">
        <v>0</v>
      </c>
      <c r="D159" s="10">
        <v>0</v>
      </c>
      <c r="E159" s="10">
        <v>0</v>
      </c>
      <c r="F159" s="10">
        <v>15600</v>
      </c>
      <c r="G159" s="10">
        <v>2276</v>
      </c>
      <c r="H159" s="10"/>
      <c r="I159" s="10">
        <v>9898.0499999999993</v>
      </c>
      <c r="J159" s="10"/>
      <c r="K159" s="10"/>
      <c r="L159" s="10"/>
      <c r="M159" s="10"/>
      <c r="N159" s="10"/>
      <c r="O159" s="9">
        <v>27774.05</v>
      </c>
      <c r="P159" s="10"/>
      <c r="Q159" s="10"/>
      <c r="R159" s="10"/>
      <c r="S159" s="9"/>
      <c r="T159" s="9">
        <v>27774.05</v>
      </c>
    </row>
    <row r="160" spans="1:20" x14ac:dyDescent="0.35">
      <c r="A160" s="35" t="s">
        <v>151</v>
      </c>
      <c r="B160" s="4" t="s">
        <v>181</v>
      </c>
      <c r="C160" s="10"/>
      <c r="D160" s="10">
        <v>0</v>
      </c>
      <c r="E160" s="10">
        <v>0</v>
      </c>
      <c r="F160" s="10"/>
      <c r="G160" s="10"/>
      <c r="H160" s="10"/>
      <c r="I160" s="10">
        <v>21439</v>
      </c>
      <c r="J160" s="10"/>
      <c r="K160" s="10"/>
      <c r="L160" s="10"/>
      <c r="M160" s="10"/>
      <c r="N160" s="10"/>
      <c r="O160" s="9">
        <v>21439</v>
      </c>
      <c r="P160" s="10"/>
      <c r="Q160" s="10"/>
      <c r="R160" s="10"/>
      <c r="S160" s="9"/>
      <c r="T160" s="9">
        <v>21439</v>
      </c>
    </row>
    <row r="161" spans="1:20" x14ac:dyDescent="0.35">
      <c r="A161" s="35" t="s">
        <v>151</v>
      </c>
      <c r="B161" s="4" t="s">
        <v>201</v>
      </c>
      <c r="C161" s="10"/>
      <c r="D161" s="10">
        <v>0</v>
      </c>
      <c r="E161" s="10">
        <v>0</v>
      </c>
      <c r="F161" s="10"/>
      <c r="G161" s="10"/>
      <c r="H161" s="10">
        <v>15913</v>
      </c>
      <c r="I161" s="10"/>
      <c r="J161" s="10"/>
      <c r="K161" s="10"/>
      <c r="L161" s="10"/>
      <c r="M161" s="10"/>
      <c r="N161" s="10"/>
      <c r="O161" s="9">
        <v>15913</v>
      </c>
      <c r="P161" s="10"/>
      <c r="Q161" s="10"/>
      <c r="R161" s="10"/>
      <c r="S161" s="9"/>
      <c r="T161" s="9">
        <v>15913</v>
      </c>
    </row>
    <row r="162" spans="1:20" x14ac:dyDescent="0.35">
      <c r="A162" s="35" t="s">
        <v>151</v>
      </c>
      <c r="B162" s="4" t="s">
        <v>212</v>
      </c>
      <c r="C162" s="10"/>
      <c r="D162" s="10">
        <v>0</v>
      </c>
      <c r="E162" s="10">
        <v>0</v>
      </c>
      <c r="F162" s="10">
        <v>0</v>
      </c>
      <c r="G162" s="10">
        <v>0</v>
      </c>
      <c r="H162" s="10"/>
      <c r="I162" s="10">
        <v>13903.27</v>
      </c>
      <c r="J162" s="10"/>
      <c r="K162" s="10"/>
      <c r="L162" s="10"/>
      <c r="M162" s="10"/>
      <c r="N162" s="10"/>
      <c r="O162" s="9">
        <v>13903.27</v>
      </c>
      <c r="P162" s="10"/>
      <c r="Q162" s="10"/>
      <c r="R162" s="10"/>
      <c r="S162" s="9"/>
      <c r="T162" s="9">
        <v>13903.27</v>
      </c>
    </row>
    <row r="163" spans="1:20" x14ac:dyDescent="0.35">
      <c r="A163" s="35" t="s">
        <v>151</v>
      </c>
      <c r="B163" s="4" t="s">
        <v>206</v>
      </c>
      <c r="C163" s="10">
        <v>10260.040000000001</v>
      </c>
      <c r="D163" s="10"/>
      <c r="E163" s="10">
        <v>0</v>
      </c>
      <c r="F163" s="10">
        <v>0</v>
      </c>
      <c r="G163" s="10">
        <v>1807.15</v>
      </c>
      <c r="H163" s="10"/>
      <c r="I163" s="10"/>
      <c r="J163" s="10"/>
      <c r="K163" s="10"/>
      <c r="L163" s="10"/>
      <c r="M163" s="10"/>
      <c r="N163" s="10"/>
      <c r="O163" s="9">
        <v>12067.19</v>
      </c>
      <c r="P163" s="10"/>
      <c r="Q163" s="10"/>
      <c r="R163" s="10"/>
      <c r="S163" s="9"/>
      <c r="T163" s="9">
        <v>12067.19</v>
      </c>
    </row>
    <row r="164" spans="1:20" x14ac:dyDescent="0.35">
      <c r="A164" s="35" t="s">
        <v>151</v>
      </c>
      <c r="B164" s="4" t="s">
        <v>164</v>
      </c>
      <c r="C164" s="10"/>
      <c r="D164" s="10">
        <v>0</v>
      </c>
      <c r="E164" s="10">
        <v>0</v>
      </c>
      <c r="F164" s="10"/>
      <c r="G164" s="10"/>
      <c r="H164" s="10"/>
      <c r="I164" s="10">
        <v>8710</v>
      </c>
      <c r="J164" s="10"/>
      <c r="K164" s="10"/>
      <c r="L164" s="10"/>
      <c r="M164" s="10"/>
      <c r="N164" s="10"/>
      <c r="O164" s="9">
        <v>8710</v>
      </c>
      <c r="P164" s="10"/>
      <c r="Q164" s="10"/>
      <c r="R164" s="10"/>
      <c r="S164" s="9"/>
      <c r="T164" s="9">
        <v>8710</v>
      </c>
    </row>
    <row r="165" spans="1:20" x14ac:dyDescent="0.35">
      <c r="A165" s="35" t="s">
        <v>151</v>
      </c>
      <c r="B165" s="4" t="s">
        <v>196</v>
      </c>
      <c r="C165" s="10"/>
      <c r="D165" s="10">
        <v>0</v>
      </c>
      <c r="E165" s="10">
        <v>0</v>
      </c>
      <c r="F165" s="10"/>
      <c r="G165" s="10"/>
      <c r="H165" s="10"/>
      <c r="I165" s="10">
        <v>5433</v>
      </c>
      <c r="J165" s="10"/>
      <c r="K165" s="10"/>
      <c r="L165" s="10"/>
      <c r="M165" s="10"/>
      <c r="N165" s="10"/>
      <c r="O165" s="9">
        <v>5433</v>
      </c>
      <c r="P165" s="10"/>
      <c r="Q165" s="10"/>
      <c r="R165" s="10"/>
      <c r="S165" s="9"/>
      <c r="T165" s="9">
        <v>5433</v>
      </c>
    </row>
    <row r="166" spans="1:20" x14ac:dyDescent="0.35">
      <c r="A166" s="35" t="s">
        <v>151</v>
      </c>
      <c r="B166" s="4" t="s">
        <v>200</v>
      </c>
      <c r="C166" s="10"/>
      <c r="D166" s="10">
        <v>0</v>
      </c>
      <c r="E166" s="10"/>
      <c r="F166" s="10"/>
      <c r="G166" s="10"/>
      <c r="H166" s="10">
        <v>4264</v>
      </c>
      <c r="I166" s="10"/>
      <c r="J166" s="10"/>
      <c r="K166" s="10"/>
      <c r="L166" s="10"/>
      <c r="M166" s="10"/>
      <c r="N166" s="10"/>
      <c r="O166" s="9">
        <v>4264</v>
      </c>
      <c r="P166" s="10"/>
      <c r="Q166" s="10"/>
      <c r="R166" s="10"/>
      <c r="S166" s="9"/>
      <c r="T166" s="9">
        <v>4264</v>
      </c>
    </row>
    <row r="167" spans="1:20" x14ac:dyDescent="0.35">
      <c r="A167" s="35" t="s">
        <v>151</v>
      </c>
      <c r="B167" s="4" t="s">
        <v>160</v>
      </c>
      <c r="C167" s="10"/>
      <c r="D167" s="10">
        <v>0</v>
      </c>
      <c r="E167" s="10">
        <v>0</v>
      </c>
      <c r="F167" s="10"/>
      <c r="G167" s="10"/>
      <c r="H167" s="10"/>
      <c r="I167" s="10">
        <v>3523</v>
      </c>
      <c r="J167" s="10"/>
      <c r="K167" s="10"/>
      <c r="L167" s="10"/>
      <c r="M167" s="10"/>
      <c r="N167" s="10"/>
      <c r="O167" s="9">
        <v>3523</v>
      </c>
      <c r="P167" s="10"/>
      <c r="Q167" s="10"/>
      <c r="R167" s="10"/>
      <c r="S167" s="9"/>
      <c r="T167" s="9">
        <v>3523</v>
      </c>
    </row>
    <row r="168" spans="1:20" x14ac:dyDescent="0.35">
      <c r="A168" s="35" t="s">
        <v>151</v>
      </c>
      <c r="B168" s="4" t="s">
        <v>204</v>
      </c>
      <c r="C168" s="10"/>
      <c r="D168" s="10">
        <v>0</v>
      </c>
      <c r="E168" s="10">
        <v>0</v>
      </c>
      <c r="F168" s="10"/>
      <c r="G168" s="10"/>
      <c r="H168" s="10"/>
      <c r="I168" s="10">
        <v>2744</v>
      </c>
      <c r="J168" s="10"/>
      <c r="K168" s="10"/>
      <c r="L168" s="10"/>
      <c r="M168" s="10"/>
      <c r="N168" s="10"/>
      <c r="O168" s="9">
        <v>2744</v>
      </c>
      <c r="P168" s="10"/>
      <c r="Q168" s="10"/>
      <c r="R168" s="10"/>
      <c r="S168" s="9"/>
      <c r="T168" s="9">
        <v>2744</v>
      </c>
    </row>
    <row r="169" spans="1:20" x14ac:dyDescent="0.35">
      <c r="A169" s="35" t="s">
        <v>151</v>
      </c>
      <c r="B169" s="4" t="s">
        <v>191</v>
      </c>
      <c r="C169" s="10"/>
      <c r="D169" s="10">
        <v>0</v>
      </c>
      <c r="E169" s="10">
        <v>0</v>
      </c>
      <c r="F169" s="10">
        <v>0</v>
      </c>
      <c r="G169" s="10">
        <v>0</v>
      </c>
      <c r="H169" s="10"/>
      <c r="I169" s="10">
        <v>2557.12</v>
      </c>
      <c r="J169" s="10"/>
      <c r="K169" s="10"/>
      <c r="L169" s="10"/>
      <c r="M169" s="10"/>
      <c r="N169" s="10"/>
      <c r="O169" s="9">
        <v>2557.12</v>
      </c>
      <c r="P169" s="10"/>
      <c r="Q169" s="10"/>
      <c r="R169" s="10"/>
      <c r="S169" s="9"/>
      <c r="T169" s="9">
        <v>2557.12</v>
      </c>
    </row>
    <row r="170" spans="1:20" x14ac:dyDescent="0.35">
      <c r="A170" s="35" t="s">
        <v>151</v>
      </c>
      <c r="B170" s="4" t="s">
        <v>202</v>
      </c>
      <c r="C170" s="10"/>
      <c r="D170" s="10">
        <v>0</v>
      </c>
      <c r="E170" s="10">
        <v>0</v>
      </c>
      <c r="F170" s="10">
        <v>0</v>
      </c>
      <c r="G170" s="10">
        <v>878</v>
      </c>
      <c r="H170" s="10"/>
      <c r="I170" s="10"/>
      <c r="J170" s="10"/>
      <c r="K170" s="10"/>
      <c r="L170" s="10"/>
      <c r="M170" s="10"/>
      <c r="N170" s="10"/>
      <c r="O170" s="9">
        <v>878</v>
      </c>
      <c r="P170" s="10"/>
      <c r="Q170" s="10"/>
      <c r="R170" s="10"/>
      <c r="S170" s="9"/>
      <c r="T170" s="9">
        <v>878</v>
      </c>
    </row>
    <row r="171" spans="1:20" x14ac:dyDescent="0.35">
      <c r="A171" s="35" t="s">
        <v>151</v>
      </c>
      <c r="B171" s="4" t="s">
        <v>190</v>
      </c>
      <c r="C171" s="10"/>
      <c r="D171" s="10">
        <v>0</v>
      </c>
      <c r="E171" s="10">
        <v>0</v>
      </c>
      <c r="F171" s="10">
        <v>0</v>
      </c>
      <c r="G171" s="10">
        <v>238</v>
      </c>
      <c r="H171" s="10"/>
      <c r="I171" s="10"/>
      <c r="J171" s="10"/>
      <c r="K171" s="10"/>
      <c r="L171" s="10"/>
      <c r="M171" s="10"/>
      <c r="N171" s="10"/>
      <c r="O171" s="9">
        <v>238</v>
      </c>
      <c r="P171" s="10"/>
      <c r="Q171" s="10"/>
      <c r="R171" s="10"/>
      <c r="S171" s="9"/>
      <c r="T171" s="9">
        <v>238</v>
      </c>
    </row>
    <row r="172" spans="1:20" x14ac:dyDescent="0.35">
      <c r="A172" s="35" t="s">
        <v>151</v>
      </c>
      <c r="B172" s="4" t="s">
        <v>175</v>
      </c>
      <c r="C172" s="10"/>
      <c r="D172" s="10">
        <v>0</v>
      </c>
      <c r="E172" s="10"/>
      <c r="F172" s="10"/>
      <c r="G172" s="10"/>
      <c r="H172" s="10">
        <v>1</v>
      </c>
      <c r="I172" s="10"/>
      <c r="J172" s="10"/>
      <c r="K172" s="10"/>
      <c r="L172" s="10"/>
      <c r="M172" s="10"/>
      <c r="N172" s="10"/>
      <c r="O172" s="9">
        <v>1</v>
      </c>
      <c r="P172" s="10"/>
      <c r="Q172" s="10"/>
      <c r="R172" s="10"/>
      <c r="S172" s="9"/>
      <c r="T172" s="9">
        <v>1</v>
      </c>
    </row>
    <row r="173" spans="1:20" x14ac:dyDescent="0.35">
      <c r="A173" s="35" t="s">
        <v>221</v>
      </c>
      <c r="B173" s="5" t="s">
        <v>10</v>
      </c>
      <c r="C173" s="9">
        <v>112431.87999999999</v>
      </c>
      <c r="D173" s="9">
        <v>185077.77</v>
      </c>
      <c r="E173" s="9">
        <v>215409.59999999998</v>
      </c>
      <c r="F173" s="9">
        <v>669211.4</v>
      </c>
      <c r="G173" s="9">
        <v>509245.11669999996</v>
      </c>
      <c r="H173" s="9">
        <v>1454448.5667000001</v>
      </c>
      <c r="I173" s="9">
        <v>791974.06670000008</v>
      </c>
      <c r="J173" s="9">
        <v>345338</v>
      </c>
      <c r="K173" s="9">
        <v>693693.5</v>
      </c>
      <c r="L173" s="9">
        <v>1057191.5</v>
      </c>
      <c r="M173" s="9">
        <v>881993</v>
      </c>
      <c r="N173" s="9">
        <v>32640.5</v>
      </c>
      <c r="O173" s="9">
        <v>6948654.9000999993</v>
      </c>
      <c r="P173" s="9">
        <v>0</v>
      </c>
      <c r="Q173" s="9"/>
      <c r="R173" s="9">
        <v>3788057.4287</v>
      </c>
      <c r="S173" s="9">
        <v>3788057.4287</v>
      </c>
      <c r="T173" s="9">
        <v>10736712.328799998</v>
      </c>
    </row>
    <row r="174" spans="1:20" x14ac:dyDescent="0.35">
      <c r="A174" s="35" t="s">
        <v>221</v>
      </c>
      <c r="B174" s="4" t="s">
        <v>223</v>
      </c>
      <c r="C174" s="10">
        <v>17586.189999999999</v>
      </c>
      <c r="D174" s="10">
        <v>76800</v>
      </c>
      <c r="E174" s="10">
        <v>59380.800000000003</v>
      </c>
      <c r="F174" s="10">
        <v>86681</v>
      </c>
      <c r="G174" s="10">
        <v>149306.4</v>
      </c>
      <c r="H174" s="10">
        <v>649306.4</v>
      </c>
      <c r="I174" s="10">
        <v>411194.4</v>
      </c>
      <c r="J174" s="10">
        <v>345338</v>
      </c>
      <c r="K174" s="10">
        <v>62991</v>
      </c>
      <c r="L174" s="10">
        <v>300000</v>
      </c>
      <c r="M174" s="10">
        <v>436839</v>
      </c>
      <c r="N174" s="10">
        <v>0</v>
      </c>
      <c r="O174" s="9">
        <v>2595423.19</v>
      </c>
      <c r="P174" s="10"/>
      <c r="Q174" s="10"/>
      <c r="R174" s="10">
        <v>2069279.4287</v>
      </c>
      <c r="S174" s="9">
        <v>2069279.4287</v>
      </c>
      <c r="T174" s="9">
        <v>4664702.6186999995</v>
      </c>
    </row>
    <row r="175" spans="1:20" x14ac:dyDescent="0.35">
      <c r="A175" s="35" t="s">
        <v>221</v>
      </c>
      <c r="B175" s="4" t="s">
        <v>226</v>
      </c>
      <c r="C175" s="10"/>
      <c r="D175" s="10"/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90282.5</v>
      </c>
      <c r="L175" s="10">
        <v>559717.5</v>
      </c>
      <c r="M175" s="10">
        <v>0</v>
      </c>
      <c r="N175" s="10">
        <v>0</v>
      </c>
      <c r="O175" s="9">
        <v>650000</v>
      </c>
      <c r="P175" s="10"/>
      <c r="Q175" s="10"/>
      <c r="R175" s="10">
        <v>650000</v>
      </c>
      <c r="S175" s="9">
        <v>650000</v>
      </c>
      <c r="T175" s="9">
        <v>1300000</v>
      </c>
    </row>
    <row r="176" spans="1:20" x14ac:dyDescent="0.35">
      <c r="A176" s="35" t="s">
        <v>221</v>
      </c>
      <c r="B176" s="4" t="s">
        <v>233</v>
      </c>
      <c r="C176" s="10"/>
      <c r="D176" s="10"/>
      <c r="E176" s="10">
        <v>0</v>
      </c>
      <c r="F176" s="10">
        <v>0</v>
      </c>
      <c r="G176" s="10">
        <v>0</v>
      </c>
      <c r="H176" s="10">
        <v>620000</v>
      </c>
      <c r="I176" s="10">
        <v>0</v>
      </c>
      <c r="J176" s="10">
        <v>0</v>
      </c>
      <c r="K176" s="10">
        <v>81920</v>
      </c>
      <c r="L176" s="10">
        <v>0</v>
      </c>
      <c r="M176" s="10">
        <v>154080</v>
      </c>
      <c r="N176" s="10">
        <v>0</v>
      </c>
      <c r="O176" s="9">
        <v>856000</v>
      </c>
      <c r="P176" s="10"/>
      <c r="Q176" s="10"/>
      <c r="R176" s="10"/>
      <c r="S176" s="9"/>
      <c r="T176" s="9">
        <v>856000</v>
      </c>
    </row>
    <row r="177" spans="1:20" x14ac:dyDescent="0.35">
      <c r="A177" s="35" t="s">
        <v>221</v>
      </c>
      <c r="B177" s="4" t="s">
        <v>227</v>
      </c>
      <c r="C177" s="10"/>
      <c r="D177" s="10"/>
      <c r="E177" s="10">
        <v>0</v>
      </c>
      <c r="F177" s="10">
        <v>243210</v>
      </c>
      <c r="G177" s="10">
        <v>37779.666700000002</v>
      </c>
      <c r="H177" s="10">
        <v>37779.666700000002</v>
      </c>
      <c r="I177" s="10">
        <v>37779.666700000002</v>
      </c>
      <c r="J177" s="10">
        <v>0</v>
      </c>
      <c r="K177" s="10">
        <v>25000</v>
      </c>
      <c r="L177" s="10">
        <v>25000</v>
      </c>
      <c r="M177" s="10">
        <v>64000</v>
      </c>
      <c r="N177" s="10">
        <v>0</v>
      </c>
      <c r="O177" s="9">
        <v>470549.0001</v>
      </c>
      <c r="P177" s="10"/>
      <c r="Q177" s="10"/>
      <c r="R177" s="10">
        <v>369451</v>
      </c>
      <c r="S177" s="9">
        <v>369451</v>
      </c>
      <c r="T177" s="9">
        <v>840000.00010000006</v>
      </c>
    </row>
    <row r="178" spans="1:20" x14ac:dyDescent="0.35">
      <c r="A178" s="35" t="s">
        <v>221</v>
      </c>
      <c r="B178" s="4" t="s">
        <v>225</v>
      </c>
      <c r="C178" s="10"/>
      <c r="D178" s="10"/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58336.5</v>
      </c>
      <c r="M178" s="10">
        <v>58336.5</v>
      </c>
      <c r="N178" s="10">
        <v>0</v>
      </c>
      <c r="O178" s="9">
        <v>116673</v>
      </c>
      <c r="P178" s="10"/>
      <c r="Q178" s="10"/>
      <c r="R178" s="10">
        <v>699327</v>
      </c>
      <c r="S178" s="9">
        <v>699327</v>
      </c>
      <c r="T178" s="9">
        <v>816000</v>
      </c>
    </row>
    <row r="179" spans="1:20" x14ac:dyDescent="0.35">
      <c r="A179" s="35" t="s">
        <v>221</v>
      </c>
      <c r="B179" s="4" t="s">
        <v>228</v>
      </c>
      <c r="C179" s="10">
        <v>51893.919999999998</v>
      </c>
      <c r="D179" s="10">
        <v>58277.77</v>
      </c>
      <c r="E179" s="10">
        <v>57028.800000000003</v>
      </c>
      <c r="F179" s="10">
        <v>64739.4</v>
      </c>
      <c r="G179" s="10">
        <v>11216.05</v>
      </c>
      <c r="H179" s="10">
        <v>0</v>
      </c>
      <c r="I179" s="10"/>
      <c r="J179" s="10"/>
      <c r="K179" s="10">
        <v>316000</v>
      </c>
      <c r="L179" s="10"/>
      <c r="M179" s="10">
        <v>83878</v>
      </c>
      <c r="N179" s="10"/>
      <c r="O179" s="9">
        <v>643033.93999999994</v>
      </c>
      <c r="P179" s="10"/>
      <c r="Q179" s="10"/>
      <c r="R179" s="10"/>
      <c r="S179" s="9"/>
      <c r="T179" s="9">
        <v>643033.93999999994</v>
      </c>
    </row>
    <row r="180" spans="1:20" x14ac:dyDescent="0.35">
      <c r="A180" s="35" t="s">
        <v>221</v>
      </c>
      <c r="B180" s="4" t="s">
        <v>232</v>
      </c>
      <c r="C180" s="10">
        <v>0</v>
      </c>
      <c r="D180" s="10">
        <v>50000</v>
      </c>
      <c r="E180" s="10"/>
      <c r="F180" s="10">
        <v>195000</v>
      </c>
      <c r="G180" s="10">
        <v>25000</v>
      </c>
      <c r="H180" s="10"/>
      <c r="I180" s="10">
        <v>200000</v>
      </c>
      <c r="J180" s="10"/>
      <c r="K180" s="10"/>
      <c r="L180" s="10"/>
      <c r="M180" s="10"/>
      <c r="N180" s="10"/>
      <c r="O180" s="9">
        <v>470000</v>
      </c>
      <c r="P180" s="10"/>
      <c r="Q180" s="10"/>
      <c r="R180" s="10"/>
      <c r="S180" s="9"/>
      <c r="T180" s="9">
        <v>470000</v>
      </c>
    </row>
    <row r="181" spans="1:20" x14ac:dyDescent="0.35">
      <c r="A181" s="35" t="s">
        <v>221</v>
      </c>
      <c r="B181" s="4" t="s">
        <v>236</v>
      </c>
      <c r="C181" s="10"/>
      <c r="D181" s="10"/>
      <c r="E181" s="10">
        <v>0</v>
      </c>
      <c r="F181" s="10">
        <v>0</v>
      </c>
      <c r="G181" s="10">
        <v>117500</v>
      </c>
      <c r="H181" s="10">
        <v>117500</v>
      </c>
      <c r="I181" s="10">
        <v>0</v>
      </c>
      <c r="J181" s="10">
        <v>0</v>
      </c>
      <c r="K181" s="10">
        <v>117500</v>
      </c>
      <c r="L181" s="10">
        <v>0</v>
      </c>
      <c r="M181" s="10">
        <v>84859.5</v>
      </c>
      <c r="N181" s="10">
        <v>32640.5</v>
      </c>
      <c r="O181" s="9">
        <v>470000</v>
      </c>
      <c r="P181" s="10"/>
      <c r="Q181" s="10"/>
      <c r="R181" s="10"/>
      <c r="S181" s="9"/>
      <c r="T181" s="9">
        <v>470000</v>
      </c>
    </row>
    <row r="182" spans="1:20" x14ac:dyDescent="0.35">
      <c r="A182" s="35" t="s">
        <v>221</v>
      </c>
      <c r="B182" s="4" t="s">
        <v>235</v>
      </c>
      <c r="C182" s="10"/>
      <c r="D182" s="10"/>
      <c r="E182" s="10">
        <v>0</v>
      </c>
      <c r="F182" s="10">
        <v>0</v>
      </c>
      <c r="G182" s="10">
        <v>143000</v>
      </c>
      <c r="H182" s="10">
        <v>29862.5</v>
      </c>
      <c r="I182" s="10">
        <v>143000</v>
      </c>
      <c r="J182" s="10">
        <v>0</v>
      </c>
      <c r="K182" s="10">
        <v>0</v>
      </c>
      <c r="L182" s="10">
        <v>114137.5</v>
      </c>
      <c r="M182" s="10">
        <v>0</v>
      </c>
      <c r="N182" s="10">
        <v>0</v>
      </c>
      <c r="O182" s="9">
        <v>430000</v>
      </c>
      <c r="P182" s="10"/>
      <c r="Q182" s="10"/>
      <c r="R182" s="10"/>
      <c r="S182" s="9"/>
      <c r="T182" s="9">
        <v>430000</v>
      </c>
    </row>
    <row r="183" spans="1:20" x14ac:dyDescent="0.35">
      <c r="A183" s="35" t="s">
        <v>221</v>
      </c>
      <c r="B183" s="4" t="s">
        <v>229</v>
      </c>
      <c r="C183" s="10">
        <v>39130.57</v>
      </c>
      <c r="D183" s="10">
        <v>0</v>
      </c>
      <c r="E183" s="10">
        <v>30000</v>
      </c>
      <c r="F183" s="10">
        <v>79581</v>
      </c>
      <c r="G183" s="10">
        <v>0</v>
      </c>
      <c r="H183" s="10"/>
      <c r="I183" s="10"/>
      <c r="J183" s="10"/>
      <c r="K183" s="10"/>
      <c r="L183" s="10"/>
      <c r="M183" s="10"/>
      <c r="N183" s="10"/>
      <c r="O183" s="9">
        <v>148711.57</v>
      </c>
      <c r="P183" s="10"/>
      <c r="Q183" s="10"/>
      <c r="R183" s="10"/>
      <c r="S183" s="9"/>
      <c r="T183" s="9">
        <v>148711.57</v>
      </c>
    </row>
    <row r="184" spans="1:20" x14ac:dyDescent="0.35">
      <c r="A184" s="35" t="s">
        <v>221</v>
      </c>
      <c r="B184" s="4" t="s">
        <v>231</v>
      </c>
      <c r="C184" s="10">
        <v>0</v>
      </c>
      <c r="D184" s="10">
        <v>0</v>
      </c>
      <c r="E184" s="10">
        <v>69000</v>
      </c>
      <c r="F184" s="10">
        <v>0</v>
      </c>
      <c r="G184" s="10">
        <v>25443</v>
      </c>
      <c r="H184" s="10"/>
      <c r="I184" s="10"/>
      <c r="J184" s="10"/>
      <c r="K184" s="10"/>
      <c r="L184" s="10"/>
      <c r="M184" s="10"/>
      <c r="N184" s="10"/>
      <c r="O184" s="9">
        <v>94443</v>
      </c>
      <c r="P184" s="10"/>
      <c r="Q184" s="10"/>
      <c r="R184" s="10"/>
      <c r="S184" s="9"/>
      <c r="T184" s="9">
        <v>94443</v>
      </c>
    </row>
    <row r="185" spans="1:20" x14ac:dyDescent="0.35">
      <c r="A185" s="35" t="s">
        <v>221</v>
      </c>
      <c r="B185" s="4" t="s">
        <v>271</v>
      </c>
      <c r="C185" s="10">
        <v>3821.2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9">
        <v>3821.2</v>
      </c>
      <c r="P185" s="10"/>
      <c r="Q185" s="10"/>
      <c r="R185" s="10"/>
      <c r="S185" s="9"/>
      <c r="T185" s="9">
        <v>3821.2</v>
      </c>
    </row>
    <row r="186" spans="1:20" x14ac:dyDescent="0.35">
      <c r="A186" s="35" t="s">
        <v>272</v>
      </c>
      <c r="B186" s="5" t="s">
        <v>10</v>
      </c>
      <c r="C186" s="9">
        <v>0</v>
      </c>
      <c r="D186" s="9">
        <v>0</v>
      </c>
      <c r="E186" s="9">
        <v>0</v>
      </c>
      <c r="F186" s="9">
        <v>0</v>
      </c>
      <c r="G186" s="9">
        <v>22555.83</v>
      </c>
      <c r="H186" s="9"/>
      <c r="I186" s="9">
        <v>101580</v>
      </c>
      <c r="J186" s="9"/>
      <c r="K186" s="9"/>
      <c r="L186" s="9"/>
      <c r="M186" s="9"/>
      <c r="N186" s="9"/>
      <c r="O186" s="9">
        <v>124135.83</v>
      </c>
      <c r="P186" s="9"/>
      <c r="Q186" s="9"/>
      <c r="R186" s="9"/>
      <c r="S186" s="9"/>
      <c r="T186" s="9">
        <v>124135.83</v>
      </c>
    </row>
    <row r="187" spans="1:20" x14ac:dyDescent="0.35">
      <c r="A187" s="35" t="s">
        <v>272</v>
      </c>
      <c r="B187" s="4" t="s">
        <v>273</v>
      </c>
      <c r="C187" s="10">
        <v>0</v>
      </c>
      <c r="D187" s="10">
        <v>0</v>
      </c>
      <c r="E187" s="10">
        <v>0</v>
      </c>
      <c r="F187" s="10">
        <v>0</v>
      </c>
      <c r="G187" s="10">
        <v>6490.48</v>
      </c>
      <c r="H187" s="10"/>
      <c r="I187" s="10">
        <v>101580</v>
      </c>
      <c r="J187" s="10"/>
      <c r="K187" s="10"/>
      <c r="L187" s="10"/>
      <c r="M187" s="10"/>
      <c r="N187" s="10"/>
      <c r="O187" s="9">
        <v>108070.48</v>
      </c>
      <c r="P187" s="10"/>
      <c r="Q187" s="10"/>
      <c r="R187" s="10"/>
      <c r="S187" s="9"/>
      <c r="T187" s="9">
        <v>108070.48</v>
      </c>
    </row>
    <row r="188" spans="1:20" x14ac:dyDescent="0.35">
      <c r="A188" s="35" t="s">
        <v>272</v>
      </c>
      <c r="B188" s="4" t="s">
        <v>274</v>
      </c>
      <c r="C188" s="10">
        <v>0</v>
      </c>
      <c r="D188" s="10">
        <v>0</v>
      </c>
      <c r="E188" s="10">
        <v>0</v>
      </c>
      <c r="F188" s="10">
        <v>0</v>
      </c>
      <c r="G188" s="10">
        <v>16065.35</v>
      </c>
      <c r="H188" s="10"/>
      <c r="I188" s="10"/>
      <c r="J188" s="10"/>
      <c r="K188" s="10"/>
      <c r="L188" s="10"/>
      <c r="M188" s="10"/>
      <c r="N188" s="10"/>
      <c r="O188" s="9">
        <v>16065.35</v>
      </c>
      <c r="P188" s="10"/>
      <c r="Q188" s="10"/>
      <c r="R188" s="10"/>
      <c r="S188" s="9"/>
      <c r="T188" s="9">
        <v>16065.35</v>
      </c>
    </row>
    <row r="189" spans="1:20" x14ac:dyDescent="0.35">
      <c r="A189" s="37" t="s">
        <v>10</v>
      </c>
      <c r="B189" s="39"/>
      <c r="C189" s="9">
        <v>7724354.96</v>
      </c>
      <c r="D189" s="9">
        <v>3564279.61</v>
      </c>
      <c r="E189" s="9">
        <v>4842715.3899999997</v>
      </c>
      <c r="F189" s="9">
        <v>8517794.0201999992</v>
      </c>
      <c r="G189" s="9">
        <v>3908444.2969000009</v>
      </c>
      <c r="H189" s="9">
        <v>14924560.0298</v>
      </c>
      <c r="I189" s="9">
        <v>7867561.6451000012</v>
      </c>
      <c r="J189" s="9">
        <v>14497362.528899999</v>
      </c>
      <c r="K189" s="9">
        <v>29733354.371599998</v>
      </c>
      <c r="L189" s="9">
        <v>11506987.9146</v>
      </c>
      <c r="M189" s="9">
        <v>19753612.3039</v>
      </c>
      <c r="N189" s="9">
        <v>18144561.316600002</v>
      </c>
      <c r="O189" s="9">
        <v>144985588.38759992</v>
      </c>
      <c r="P189" s="9">
        <v>1440768</v>
      </c>
      <c r="Q189" s="9">
        <v>1892077</v>
      </c>
      <c r="R189" s="9">
        <v>103444191.142</v>
      </c>
      <c r="S189" s="9">
        <v>106777036.142</v>
      </c>
      <c r="T189" s="9">
        <v>251762624.52959999</v>
      </c>
    </row>
    <row r="191" spans="1:20" x14ac:dyDescent="0.35">
      <c r="A191" t="s">
        <v>275</v>
      </c>
    </row>
  </sheetData>
  <mergeCells count="10">
    <mergeCell ref="C1:O1"/>
    <mergeCell ref="P1:S1"/>
    <mergeCell ref="T1:T2"/>
    <mergeCell ref="A2:B2"/>
    <mergeCell ref="A4:A113"/>
    <mergeCell ref="A114:A172"/>
    <mergeCell ref="A173:A185"/>
    <mergeCell ref="A186:A188"/>
    <mergeCell ref="A189:B189"/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0"/>
  <sheetViews>
    <sheetView tabSelected="1" topLeftCell="A447" zoomScale="70" zoomScaleNormal="70" workbookViewId="0">
      <selection activeCell="B240" activeCellId="1" sqref="F1:F1048576 A240:XFD478"/>
    </sheetView>
  </sheetViews>
  <sheetFormatPr defaultRowHeight="14.5" x14ac:dyDescent="0.35"/>
  <cols>
    <col min="1" max="1" width="10.81640625" customWidth="1"/>
    <col min="2" max="2" width="25.81640625" customWidth="1"/>
    <col min="3" max="3" width="22.81640625" customWidth="1"/>
    <col min="4" max="4" width="47.1796875" customWidth="1"/>
    <col min="5" max="5" width="14.81640625" style="10" bestFit="1" customWidth="1"/>
    <col min="6" max="6" width="13.81640625" style="10" bestFit="1" customWidth="1"/>
    <col min="7" max="7" width="12.7265625" style="10" bestFit="1" customWidth="1"/>
    <col min="8" max="8" width="14.81640625" style="10" bestFit="1" customWidth="1"/>
    <col min="9" max="9" width="13.81640625" style="10" bestFit="1" customWidth="1"/>
    <col min="10" max="10" width="14.81640625" style="10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5">
      <c r="A2" s="36">
        <v>2027</v>
      </c>
      <c r="B2" s="37" t="s">
        <v>10</v>
      </c>
      <c r="C2" s="38"/>
      <c r="D2" s="39"/>
      <c r="E2" s="9">
        <v>106777036.142</v>
      </c>
      <c r="F2" s="9"/>
      <c r="G2" s="9"/>
      <c r="H2" s="9">
        <v>106777036.14</v>
      </c>
      <c r="I2" s="9">
        <v>46652308.160000011</v>
      </c>
      <c r="J2" s="9">
        <v>60124727.981999993</v>
      </c>
    </row>
    <row r="3" spans="1:10" x14ac:dyDescent="0.35">
      <c r="A3" s="36">
        <v>2027</v>
      </c>
      <c r="B3" s="35" t="s">
        <v>11</v>
      </c>
      <c r="C3" s="37" t="s">
        <v>10</v>
      </c>
      <c r="D3" s="39"/>
      <c r="E3" s="9">
        <v>93138577.9833</v>
      </c>
      <c r="F3" s="9"/>
      <c r="G3" s="9"/>
      <c r="H3" s="9">
        <v>93138577.980000004</v>
      </c>
      <c r="I3" s="9">
        <v>38284055.350000009</v>
      </c>
      <c r="J3" s="9">
        <v>54854522.633299991</v>
      </c>
    </row>
    <row r="4" spans="1:10" x14ac:dyDescent="0.35">
      <c r="A4" s="36">
        <v>2027</v>
      </c>
      <c r="B4" s="35" t="s">
        <v>11</v>
      </c>
      <c r="C4" s="35" t="s">
        <v>12</v>
      </c>
      <c r="D4" s="5" t="s">
        <v>10</v>
      </c>
      <c r="E4" s="9">
        <v>21471046</v>
      </c>
      <c r="F4" s="9"/>
      <c r="G4" s="9"/>
      <c r="H4" s="9">
        <v>21471046</v>
      </c>
      <c r="I4" s="9">
        <v>1470088.95</v>
      </c>
      <c r="J4" s="9">
        <v>20000957.050000001</v>
      </c>
    </row>
    <row r="5" spans="1:10" x14ac:dyDescent="0.35">
      <c r="A5" s="36">
        <v>2027</v>
      </c>
      <c r="B5" s="35" t="s">
        <v>11</v>
      </c>
      <c r="C5" s="35" t="s">
        <v>12</v>
      </c>
      <c r="D5" s="4" t="s">
        <v>13</v>
      </c>
      <c r="E5" s="10">
        <v>21471046</v>
      </c>
      <c r="H5" s="10">
        <v>21471046</v>
      </c>
      <c r="I5" s="10">
        <v>1470088.95</v>
      </c>
      <c r="J5" s="10">
        <v>20000957.050000001</v>
      </c>
    </row>
    <row r="6" spans="1:10" x14ac:dyDescent="0.35">
      <c r="A6" s="36">
        <v>2027</v>
      </c>
      <c r="B6" s="35" t="s">
        <v>11</v>
      </c>
      <c r="C6" s="35" t="s">
        <v>12</v>
      </c>
      <c r="D6" s="4" t="s">
        <v>14</v>
      </c>
      <c r="I6" s="10">
        <v>0</v>
      </c>
      <c r="J6" s="10">
        <v>0</v>
      </c>
    </row>
    <row r="7" spans="1:10" x14ac:dyDescent="0.35">
      <c r="A7" s="36">
        <v>2027</v>
      </c>
      <c r="B7" s="35" t="s">
        <v>11</v>
      </c>
      <c r="C7" s="35" t="s">
        <v>15</v>
      </c>
      <c r="D7" s="5" t="s">
        <v>10</v>
      </c>
      <c r="E7" s="9">
        <v>19679400.32</v>
      </c>
      <c r="F7" s="9"/>
      <c r="G7" s="9"/>
      <c r="H7" s="9">
        <v>19679400.32</v>
      </c>
      <c r="I7" s="9">
        <v>287934.51999999996</v>
      </c>
      <c r="J7" s="9">
        <v>19391465.800000001</v>
      </c>
    </row>
    <row r="8" spans="1:10" x14ac:dyDescent="0.35">
      <c r="A8" s="36">
        <v>2027</v>
      </c>
      <c r="B8" s="35" t="s">
        <v>11</v>
      </c>
      <c r="C8" s="35" t="s">
        <v>15</v>
      </c>
      <c r="D8" s="4" t="s">
        <v>16</v>
      </c>
      <c r="E8" s="10">
        <v>19679400.32</v>
      </c>
      <c r="H8" s="10">
        <v>19679400.32</v>
      </c>
      <c r="I8" s="10">
        <v>272891.55</v>
      </c>
      <c r="J8" s="10">
        <v>19406508.77</v>
      </c>
    </row>
    <row r="9" spans="1:10" x14ac:dyDescent="0.35">
      <c r="A9" s="36">
        <v>2027</v>
      </c>
      <c r="B9" s="35" t="s">
        <v>11</v>
      </c>
      <c r="C9" s="35" t="s">
        <v>15</v>
      </c>
      <c r="D9" s="4" t="s">
        <v>17</v>
      </c>
      <c r="E9" s="10">
        <v>0</v>
      </c>
      <c r="H9" s="10">
        <v>0</v>
      </c>
      <c r="I9" s="10">
        <v>15042.97</v>
      </c>
      <c r="J9" s="10">
        <v>-15042.97</v>
      </c>
    </row>
    <row r="10" spans="1:10" x14ac:dyDescent="0.35">
      <c r="A10" s="36">
        <v>2027</v>
      </c>
      <c r="B10" s="35" t="s">
        <v>11</v>
      </c>
      <c r="C10" s="35" t="s">
        <v>15</v>
      </c>
      <c r="D10" s="4" t="s">
        <v>18</v>
      </c>
      <c r="E10" s="10">
        <v>0</v>
      </c>
      <c r="H10" s="10">
        <v>0</v>
      </c>
      <c r="J10" s="10">
        <v>0</v>
      </c>
    </row>
    <row r="11" spans="1:10" x14ac:dyDescent="0.35">
      <c r="A11" s="36">
        <v>2027</v>
      </c>
      <c r="B11" s="35" t="s">
        <v>11</v>
      </c>
      <c r="C11" s="35" t="s">
        <v>19</v>
      </c>
      <c r="D11" s="5" t="s">
        <v>10</v>
      </c>
      <c r="E11" s="9">
        <v>18550259.490000002</v>
      </c>
      <c r="F11" s="9"/>
      <c r="G11" s="9"/>
      <c r="H11" s="9">
        <v>18550259.489999998</v>
      </c>
      <c r="I11" s="9">
        <v>11969605.480000002</v>
      </c>
      <c r="J11" s="9">
        <v>6580654.0099999998</v>
      </c>
    </row>
    <row r="12" spans="1:10" x14ac:dyDescent="0.35">
      <c r="A12" s="36">
        <v>2027</v>
      </c>
      <c r="B12" s="35" t="s">
        <v>11</v>
      </c>
      <c r="C12" s="35" t="s">
        <v>19</v>
      </c>
      <c r="D12" s="4" t="s">
        <v>20</v>
      </c>
      <c r="E12" s="10">
        <v>9491900</v>
      </c>
      <c r="H12" s="10">
        <v>9491900</v>
      </c>
      <c r="I12" s="10">
        <v>3880437.5100000002</v>
      </c>
      <c r="J12" s="10">
        <v>5611462.4900000002</v>
      </c>
    </row>
    <row r="13" spans="1:10" x14ac:dyDescent="0.35">
      <c r="A13" s="36">
        <v>2027</v>
      </c>
      <c r="B13" s="35" t="s">
        <v>11</v>
      </c>
      <c r="C13" s="35" t="s">
        <v>19</v>
      </c>
      <c r="D13" s="4" t="s">
        <v>21</v>
      </c>
      <c r="E13" s="10">
        <v>5472559.4900000002</v>
      </c>
      <c r="H13" s="10">
        <v>5472559.4900000002</v>
      </c>
      <c r="I13" s="10">
        <v>216305.80000000002</v>
      </c>
      <c r="J13" s="10">
        <v>5256253.6900000004</v>
      </c>
    </row>
    <row r="14" spans="1:10" x14ac:dyDescent="0.35">
      <c r="A14" s="36">
        <v>2027</v>
      </c>
      <c r="B14" s="35" t="s">
        <v>11</v>
      </c>
      <c r="C14" s="35" t="s">
        <v>19</v>
      </c>
      <c r="D14" s="4" t="s">
        <v>22</v>
      </c>
      <c r="E14" s="10">
        <v>3585800</v>
      </c>
      <c r="H14" s="10">
        <v>3585800</v>
      </c>
      <c r="I14" s="10">
        <v>7269611.5000000019</v>
      </c>
      <c r="J14" s="10">
        <v>-3683811.5000000019</v>
      </c>
    </row>
    <row r="15" spans="1:10" x14ac:dyDescent="0.35">
      <c r="A15" s="36">
        <v>2027</v>
      </c>
      <c r="B15" s="35" t="s">
        <v>11</v>
      </c>
      <c r="C15" s="35" t="s">
        <v>19</v>
      </c>
      <c r="D15" s="4" t="s">
        <v>23</v>
      </c>
      <c r="E15" s="10">
        <v>0</v>
      </c>
      <c r="H15" s="10">
        <v>0</v>
      </c>
      <c r="I15" s="10">
        <v>482868.61000000004</v>
      </c>
      <c r="J15" s="10">
        <v>-482868.61000000004</v>
      </c>
    </row>
    <row r="16" spans="1:10" x14ac:dyDescent="0.35">
      <c r="A16" s="36">
        <v>2027</v>
      </c>
      <c r="B16" s="35" t="s">
        <v>11</v>
      </c>
      <c r="C16" s="35" t="s">
        <v>19</v>
      </c>
      <c r="D16" s="4" t="s">
        <v>24</v>
      </c>
      <c r="E16" s="10">
        <v>0</v>
      </c>
      <c r="H16" s="10">
        <v>0</v>
      </c>
      <c r="I16" s="10">
        <v>0</v>
      </c>
      <c r="J16" s="10">
        <v>0</v>
      </c>
    </row>
    <row r="17" spans="1:10" x14ac:dyDescent="0.35">
      <c r="A17" s="36">
        <v>2027</v>
      </c>
      <c r="B17" s="35" t="s">
        <v>11</v>
      </c>
      <c r="C17" s="35" t="s">
        <v>19</v>
      </c>
      <c r="D17" s="4" t="s">
        <v>25</v>
      </c>
      <c r="E17" s="10">
        <v>0</v>
      </c>
      <c r="H17" s="10">
        <v>0</v>
      </c>
      <c r="I17" s="10">
        <v>0</v>
      </c>
      <c r="J17" s="10">
        <v>0</v>
      </c>
    </row>
    <row r="18" spans="1:10" x14ac:dyDescent="0.35">
      <c r="A18" s="36">
        <v>2027</v>
      </c>
      <c r="B18" s="35" t="s">
        <v>11</v>
      </c>
      <c r="C18" s="35" t="s">
        <v>19</v>
      </c>
      <c r="D18" s="4" t="s">
        <v>26</v>
      </c>
      <c r="E18" s="10">
        <v>0</v>
      </c>
      <c r="H18" s="10">
        <v>0</v>
      </c>
      <c r="I18" s="10">
        <v>10539.509999999998</v>
      </c>
      <c r="J18" s="10">
        <v>-10539.509999999998</v>
      </c>
    </row>
    <row r="19" spans="1:10" x14ac:dyDescent="0.35">
      <c r="A19" s="36">
        <v>2027</v>
      </c>
      <c r="B19" s="35" t="s">
        <v>11</v>
      </c>
      <c r="C19" s="35" t="s">
        <v>19</v>
      </c>
      <c r="D19" s="4" t="s">
        <v>27</v>
      </c>
      <c r="E19" s="10">
        <v>0</v>
      </c>
      <c r="H19" s="10">
        <v>0</v>
      </c>
      <c r="I19" s="10">
        <v>4354.9699999999993</v>
      </c>
      <c r="J19" s="10">
        <v>-4354.9699999999993</v>
      </c>
    </row>
    <row r="20" spans="1:10" x14ac:dyDescent="0.35">
      <c r="A20" s="36">
        <v>2027</v>
      </c>
      <c r="B20" s="35" t="s">
        <v>11</v>
      </c>
      <c r="C20" s="35" t="s">
        <v>19</v>
      </c>
      <c r="D20" s="4" t="s">
        <v>28</v>
      </c>
      <c r="E20" s="10">
        <v>0</v>
      </c>
      <c r="H20" s="10">
        <v>0</v>
      </c>
      <c r="I20" s="10">
        <v>105487.58</v>
      </c>
      <c r="J20" s="10">
        <v>-105487.58</v>
      </c>
    </row>
    <row r="21" spans="1:10" x14ac:dyDescent="0.35">
      <c r="A21" s="36">
        <v>2027</v>
      </c>
      <c r="B21" s="35" t="s">
        <v>11</v>
      </c>
      <c r="C21" s="35" t="s">
        <v>29</v>
      </c>
      <c r="D21" s="5" t="s">
        <v>10</v>
      </c>
      <c r="E21" s="9">
        <v>12938481</v>
      </c>
      <c r="F21" s="9"/>
      <c r="G21" s="9"/>
      <c r="H21" s="9">
        <v>12938481</v>
      </c>
      <c r="I21" s="9">
        <v>4703588.209999999</v>
      </c>
      <c r="J21" s="9">
        <v>8234892.790000001</v>
      </c>
    </row>
    <row r="22" spans="1:10" x14ac:dyDescent="0.35">
      <c r="A22" s="36">
        <v>2027</v>
      </c>
      <c r="B22" s="35" t="s">
        <v>11</v>
      </c>
      <c r="C22" s="35" t="s">
        <v>29</v>
      </c>
      <c r="D22" s="4" t="s">
        <v>30</v>
      </c>
      <c r="E22" s="10">
        <v>5639800</v>
      </c>
      <c r="H22" s="10">
        <v>5639800</v>
      </c>
      <c r="I22" s="10">
        <v>183569.53</v>
      </c>
      <c r="J22" s="10">
        <v>5456230.4699999997</v>
      </c>
    </row>
    <row r="23" spans="1:10" x14ac:dyDescent="0.35">
      <c r="A23" s="36">
        <v>2027</v>
      </c>
      <c r="B23" s="35" t="s">
        <v>11</v>
      </c>
      <c r="C23" s="35" t="s">
        <v>29</v>
      </c>
      <c r="D23" s="4" t="s">
        <v>31</v>
      </c>
      <c r="E23" s="10">
        <v>2215600</v>
      </c>
      <c r="H23" s="10">
        <v>2215600</v>
      </c>
      <c r="J23" s="10">
        <v>2215600</v>
      </c>
    </row>
    <row r="24" spans="1:10" x14ac:dyDescent="0.35">
      <c r="A24" s="36">
        <v>2027</v>
      </c>
      <c r="B24" s="35" t="s">
        <v>11</v>
      </c>
      <c r="C24" s="35" t="s">
        <v>29</v>
      </c>
      <c r="D24" s="4" t="s">
        <v>32</v>
      </c>
      <c r="E24" s="10">
        <v>1704794</v>
      </c>
      <c r="H24" s="10">
        <v>1704794</v>
      </c>
      <c r="I24" s="10">
        <v>140796</v>
      </c>
      <c r="J24" s="10">
        <v>1563998</v>
      </c>
    </row>
    <row r="25" spans="1:10" x14ac:dyDescent="0.35">
      <c r="A25" s="36">
        <v>2027</v>
      </c>
      <c r="B25" s="35" t="s">
        <v>11</v>
      </c>
      <c r="C25" s="35" t="s">
        <v>29</v>
      </c>
      <c r="D25" s="4" t="s">
        <v>33</v>
      </c>
      <c r="E25" s="10">
        <v>956787</v>
      </c>
      <c r="H25" s="10">
        <v>956787</v>
      </c>
      <c r="J25" s="10">
        <v>956787</v>
      </c>
    </row>
    <row r="26" spans="1:10" x14ac:dyDescent="0.35">
      <c r="A26" s="36">
        <v>2027</v>
      </c>
      <c r="B26" s="35" t="s">
        <v>11</v>
      </c>
      <c r="C26" s="35" t="s">
        <v>29</v>
      </c>
      <c r="D26" s="4" t="s">
        <v>34</v>
      </c>
      <c r="E26" s="10">
        <v>524900</v>
      </c>
      <c r="H26" s="10">
        <v>524900</v>
      </c>
      <c r="J26" s="10">
        <v>524900</v>
      </c>
    </row>
    <row r="27" spans="1:10" x14ac:dyDescent="0.35">
      <c r="A27" s="36">
        <v>2027</v>
      </c>
      <c r="B27" s="35" t="s">
        <v>11</v>
      </c>
      <c r="C27" s="35" t="s">
        <v>29</v>
      </c>
      <c r="D27" s="4" t="s">
        <v>35</v>
      </c>
      <c r="E27" s="10">
        <v>501700</v>
      </c>
      <c r="H27" s="10">
        <v>501700</v>
      </c>
      <c r="J27" s="10">
        <v>501700</v>
      </c>
    </row>
    <row r="28" spans="1:10" x14ac:dyDescent="0.35">
      <c r="A28" s="36">
        <v>2027</v>
      </c>
      <c r="B28" s="35" t="s">
        <v>11</v>
      </c>
      <c r="C28" s="35" t="s">
        <v>29</v>
      </c>
      <c r="D28" s="4" t="s">
        <v>36</v>
      </c>
      <c r="E28" s="10">
        <v>501700</v>
      </c>
      <c r="H28" s="10">
        <v>501700</v>
      </c>
      <c r="J28" s="10">
        <v>501700</v>
      </c>
    </row>
    <row r="29" spans="1:10" x14ac:dyDescent="0.35">
      <c r="A29" s="36">
        <v>2027</v>
      </c>
      <c r="B29" s="35" t="s">
        <v>11</v>
      </c>
      <c r="C29" s="35" t="s">
        <v>29</v>
      </c>
      <c r="D29" s="4" t="s">
        <v>37</v>
      </c>
      <c r="E29" s="10">
        <v>501700</v>
      </c>
      <c r="H29" s="10">
        <v>501700</v>
      </c>
      <c r="J29" s="10">
        <v>501700</v>
      </c>
    </row>
    <row r="30" spans="1:10" x14ac:dyDescent="0.35">
      <c r="A30" s="36">
        <v>2027</v>
      </c>
      <c r="B30" s="35" t="s">
        <v>11</v>
      </c>
      <c r="C30" s="35" t="s">
        <v>29</v>
      </c>
      <c r="D30" s="4" t="s">
        <v>38</v>
      </c>
      <c r="E30" s="10">
        <v>391500</v>
      </c>
      <c r="H30" s="10">
        <v>391500</v>
      </c>
      <c r="J30" s="10">
        <v>391500</v>
      </c>
    </row>
    <row r="31" spans="1:10" x14ac:dyDescent="0.35">
      <c r="A31" s="36">
        <v>2027</v>
      </c>
      <c r="B31" s="35" t="s">
        <v>11</v>
      </c>
      <c r="C31" s="35" t="s">
        <v>29</v>
      </c>
      <c r="D31" s="4" t="s">
        <v>39</v>
      </c>
      <c r="E31" s="10">
        <v>0</v>
      </c>
      <c r="H31" s="10">
        <v>0</v>
      </c>
      <c r="I31" s="10">
        <v>75879.249999999985</v>
      </c>
      <c r="J31" s="10">
        <v>-75879.249999999985</v>
      </c>
    </row>
    <row r="32" spans="1:10" x14ac:dyDescent="0.35">
      <c r="A32" s="36">
        <v>2027</v>
      </c>
      <c r="B32" s="35" t="s">
        <v>11</v>
      </c>
      <c r="C32" s="35" t="s">
        <v>29</v>
      </c>
      <c r="D32" s="4" t="s">
        <v>40</v>
      </c>
      <c r="E32" s="10">
        <v>0</v>
      </c>
      <c r="H32" s="10">
        <v>0</v>
      </c>
      <c r="I32" s="10">
        <v>187153.48</v>
      </c>
      <c r="J32" s="10">
        <v>-187153.48</v>
      </c>
    </row>
    <row r="33" spans="1:10" x14ac:dyDescent="0.35">
      <c r="A33" s="36">
        <v>2027</v>
      </c>
      <c r="B33" s="35" t="s">
        <v>11</v>
      </c>
      <c r="C33" s="35" t="s">
        <v>29</v>
      </c>
      <c r="D33" s="4" t="s">
        <v>41</v>
      </c>
      <c r="E33" s="10">
        <v>0</v>
      </c>
      <c r="H33" s="10">
        <v>0</v>
      </c>
      <c r="I33" s="10">
        <v>314761.71999999997</v>
      </c>
      <c r="J33" s="10">
        <v>-314761.71999999997</v>
      </c>
    </row>
    <row r="34" spans="1:10" x14ac:dyDescent="0.35">
      <c r="A34" s="36">
        <v>2027</v>
      </c>
      <c r="B34" s="35" t="s">
        <v>11</v>
      </c>
      <c r="C34" s="35" t="s">
        <v>29</v>
      </c>
      <c r="D34" s="4" t="s">
        <v>42</v>
      </c>
      <c r="E34" s="10">
        <v>0</v>
      </c>
      <c r="H34" s="10">
        <v>0</v>
      </c>
      <c r="I34" s="10">
        <v>17049.879999999997</v>
      </c>
      <c r="J34" s="10">
        <v>-17049.879999999997</v>
      </c>
    </row>
    <row r="35" spans="1:10" x14ac:dyDescent="0.35">
      <c r="A35" s="36">
        <v>2027</v>
      </c>
      <c r="B35" s="35" t="s">
        <v>11</v>
      </c>
      <c r="C35" s="35" t="s">
        <v>29</v>
      </c>
      <c r="D35" s="4" t="s">
        <v>43</v>
      </c>
      <c r="E35" s="10">
        <v>0</v>
      </c>
      <c r="H35" s="10">
        <v>0</v>
      </c>
      <c r="I35" s="10">
        <v>558.15000000000009</v>
      </c>
      <c r="J35" s="10">
        <v>-558.15000000000009</v>
      </c>
    </row>
    <row r="36" spans="1:10" x14ac:dyDescent="0.35">
      <c r="A36" s="36">
        <v>2027</v>
      </c>
      <c r="B36" s="35" t="s">
        <v>11</v>
      </c>
      <c r="C36" s="35" t="s">
        <v>29</v>
      </c>
      <c r="D36" s="4" t="s">
        <v>44</v>
      </c>
      <c r="E36" s="10">
        <v>0</v>
      </c>
      <c r="H36" s="10">
        <v>0</v>
      </c>
      <c r="I36" s="10">
        <v>277353.26</v>
      </c>
      <c r="J36" s="10">
        <v>-277353.26</v>
      </c>
    </row>
    <row r="37" spans="1:10" x14ac:dyDescent="0.35">
      <c r="A37" s="36">
        <v>2027</v>
      </c>
      <c r="B37" s="35" t="s">
        <v>11</v>
      </c>
      <c r="C37" s="35" t="s">
        <v>29</v>
      </c>
      <c r="D37" s="4" t="s">
        <v>45</v>
      </c>
      <c r="E37" s="10">
        <v>0</v>
      </c>
      <c r="H37" s="10">
        <v>0</v>
      </c>
      <c r="I37" s="10">
        <v>39583.43</v>
      </c>
      <c r="J37" s="10">
        <v>-39583.43</v>
      </c>
    </row>
    <row r="38" spans="1:10" x14ac:dyDescent="0.35">
      <c r="A38" s="36">
        <v>2027</v>
      </c>
      <c r="B38" s="35" t="s">
        <v>11</v>
      </c>
      <c r="C38" s="35" t="s">
        <v>29</v>
      </c>
      <c r="D38" s="4" t="s">
        <v>46</v>
      </c>
      <c r="E38" s="10">
        <v>0</v>
      </c>
      <c r="H38" s="10">
        <v>0</v>
      </c>
      <c r="I38" s="10">
        <v>107878.98000000001</v>
      </c>
      <c r="J38" s="10">
        <v>-107878.98000000001</v>
      </c>
    </row>
    <row r="39" spans="1:10" x14ac:dyDescent="0.35">
      <c r="A39" s="36">
        <v>2027</v>
      </c>
      <c r="B39" s="35" t="s">
        <v>11</v>
      </c>
      <c r="C39" s="35" t="s">
        <v>29</v>
      </c>
      <c r="D39" s="4" t="s">
        <v>47</v>
      </c>
      <c r="E39" s="10">
        <v>0</v>
      </c>
      <c r="H39" s="10">
        <v>0</v>
      </c>
      <c r="J39" s="10">
        <v>0</v>
      </c>
    </row>
    <row r="40" spans="1:10" x14ac:dyDescent="0.35">
      <c r="A40" s="36">
        <v>2027</v>
      </c>
      <c r="B40" s="35" t="s">
        <v>11</v>
      </c>
      <c r="C40" s="35" t="s">
        <v>29</v>
      </c>
      <c r="D40" s="4" t="s">
        <v>48</v>
      </c>
      <c r="E40" s="10">
        <v>0</v>
      </c>
      <c r="H40" s="10">
        <v>0</v>
      </c>
      <c r="I40" s="10">
        <v>1786533.5699999996</v>
      </c>
      <c r="J40" s="10">
        <v>-1786533.5699999996</v>
      </c>
    </row>
    <row r="41" spans="1:10" x14ac:dyDescent="0.35">
      <c r="A41" s="36">
        <v>2027</v>
      </c>
      <c r="B41" s="35" t="s">
        <v>11</v>
      </c>
      <c r="C41" s="35" t="s">
        <v>29</v>
      </c>
      <c r="D41" s="4" t="s">
        <v>49</v>
      </c>
      <c r="E41" s="10">
        <v>0</v>
      </c>
      <c r="H41" s="10">
        <v>0</v>
      </c>
      <c r="I41" s="10">
        <v>4793.6000000000004</v>
      </c>
      <c r="J41" s="10">
        <v>-4793.6000000000004</v>
      </c>
    </row>
    <row r="42" spans="1:10" x14ac:dyDescent="0.35">
      <c r="A42" s="36">
        <v>2027</v>
      </c>
      <c r="B42" s="35" t="s">
        <v>11</v>
      </c>
      <c r="C42" s="35" t="s">
        <v>29</v>
      </c>
      <c r="D42" s="4" t="s">
        <v>50</v>
      </c>
      <c r="E42" s="10">
        <v>0</v>
      </c>
      <c r="H42" s="10">
        <v>0</v>
      </c>
      <c r="I42" s="10">
        <v>286234.44</v>
      </c>
      <c r="J42" s="10">
        <v>-286234.44</v>
      </c>
    </row>
    <row r="43" spans="1:10" x14ac:dyDescent="0.35">
      <c r="A43" s="36">
        <v>2027</v>
      </c>
      <c r="B43" s="35" t="s">
        <v>11</v>
      </c>
      <c r="C43" s="35" t="s">
        <v>29</v>
      </c>
      <c r="D43" s="4" t="s">
        <v>51</v>
      </c>
      <c r="E43" s="10">
        <v>0</v>
      </c>
      <c r="H43" s="10">
        <v>0</v>
      </c>
      <c r="I43" s="10">
        <v>183241.11999999997</v>
      </c>
      <c r="J43" s="10">
        <v>-183241.11999999997</v>
      </c>
    </row>
    <row r="44" spans="1:10" x14ac:dyDescent="0.35">
      <c r="A44" s="36">
        <v>2027</v>
      </c>
      <c r="B44" s="35" t="s">
        <v>11</v>
      </c>
      <c r="C44" s="35" t="s">
        <v>29</v>
      </c>
      <c r="D44" s="4" t="s">
        <v>52</v>
      </c>
      <c r="E44" s="10">
        <v>0</v>
      </c>
      <c r="H44" s="10">
        <v>0</v>
      </c>
      <c r="J44" s="10">
        <v>0</v>
      </c>
    </row>
    <row r="45" spans="1:10" x14ac:dyDescent="0.35">
      <c r="A45" s="36">
        <v>2027</v>
      </c>
      <c r="B45" s="35" t="s">
        <v>11</v>
      </c>
      <c r="C45" s="35" t="s">
        <v>29</v>
      </c>
      <c r="D45" s="4" t="s">
        <v>53</v>
      </c>
      <c r="E45" s="10">
        <v>0</v>
      </c>
      <c r="H45" s="10">
        <v>0</v>
      </c>
      <c r="I45" s="10">
        <v>94482</v>
      </c>
      <c r="J45" s="10">
        <v>-94482</v>
      </c>
    </row>
    <row r="46" spans="1:10" x14ac:dyDescent="0.35">
      <c r="A46" s="36">
        <v>2027</v>
      </c>
      <c r="B46" s="35" t="s">
        <v>11</v>
      </c>
      <c r="C46" s="35" t="s">
        <v>29</v>
      </c>
      <c r="D46" s="4" t="s">
        <v>54</v>
      </c>
      <c r="E46" s="10">
        <v>0</v>
      </c>
      <c r="H46" s="10">
        <v>0</v>
      </c>
      <c r="J46" s="10">
        <v>0</v>
      </c>
    </row>
    <row r="47" spans="1:10" x14ac:dyDescent="0.35">
      <c r="A47" s="36">
        <v>2027</v>
      </c>
      <c r="B47" s="35" t="s">
        <v>11</v>
      </c>
      <c r="C47" s="35" t="s">
        <v>29</v>
      </c>
      <c r="D47" s="4" t="s">
        <v>55</v>
      </c>
      <c r="E47" s="10">
        <v>0</v>
      </c>
      <c r="H47" s="10">
        <v>0</v>
      </c>
      <c r="I47" s="10">
        <v>20122</v>
      </c>
      <c r="J47" s="10">
        <v>-20122</v>
      </c>
    </row>
    <row r="48" spans="1:10" x14ac:dyDescent="0.35">
      <c r="A48" s="36">
        <v>2027</v>
      </c>
      <c r="B48" s="35" t="s">
        <v>11</v>
      </c>
      <c r="C48" s="35" t="s">
        <v>29</v>
      </c>
      <c r="D48" s="4" t="s">
        <v>56</v>
      </c>
      <c r="E48" s="10">
        <v>0</v>
      </c>
      <c r="H48" s="10">
        <v>0</v>
      </c>
      <c r="I48" s="10">
        <v>40565.879999999997</v>
      </c>
      <c r="J48" s="10">
        <v>-40565.879999999997</v>
      </c>
    </row>
    <row r="49" spans="1:10" x14ac:dyDescent="0.35">
      <c r="A49" s="36">
        <v>2027</v>
      </c>
      <c r="B49" s="35" t="s">
        <v>11</v>
      </c>
      <c r="C49" s="35" t="s">
        <v>29</v>
      </c>
      <c r="D49" s="4" t="s">
        <v>57</v>
      </c>
      <c r="E49" s="10">
        <v>0</v>
      </c>
      <c r="H49" s="10">
        <v>0</v>
      </c>
      <c r="I49" s="10">
        <v>22489.43</v>
      </c>
      <c r="J49" s="10">
        <v>-22489.43</v>
      </c>
    </row>
    <row r="50" spans="1:10" x14ac:dyDescent="0.35">
      <c r="A50" s="36">
        <v>2027</v>
      </c>
      <c r="B50" s="35" t="s">
        <v>11</v>
      </c>
      <c r="C50" s="35" t="s">
        <v>29</v>
      </c>
      <c r="D50" s="4" t="s">
        <v>58</v>
      </c>
      <c r="E50" s="10">
        <v>0</v>
      </c>
      <c r="H50" s="10">
        <v>0</v>
      </c>
      <c r="I50" s="10">
        <v>307173.92</v>
      </c>
      <c r="J50" s="10">
        <v>-307173.92</v>
      </c>
    </row>
    <row r="51" spans="1:10" x14ac:dyDescent="0.35">
      <c r="A51" s="36">
        <v>2027</v>
      </c>
      <c r="B51" s="35" t="s">
        <v>11</v>
      </c>
      <c r="C51" s="35" t="s">
        <v>29</v>
      </c>
      <c r="D51" s="4" t="s">
        <v>59</v>
      </c>
      <c r="E51" s="10">
        <v>0</v>
      </c>
      <c r="H51" s="10">
        <v>0</v>
      </c>
      <c r="I51" s="10">
        <v>1225.93</v>
      </c>
      <c r="J51" s="10">
        <v>-1225.93</v>
      </c>
    </row>
    <row r="52" spans="1:10" x14ac:dyDescent="0.35">
      <c r="A52" s="36">
        <v>2027</v>
      </c>
      <c r="B52" s="35" t="s">
        <v>11</v>
      </c>
      <c r="C52" s="35" t="s">
        <v>29</v>
      </c>
      <c r="D52" s="4" t="s">
        <v>60</v>
      </c>
      <c r="E52" s="10">
        <v>0</v>
      </c>
      <c r="H52" s="10">
        <v>0</v>
      </c>
      <c r="I52" s="10">
        <v>484890.83999999997</v>
      </c>
      <c r="J52" s="10">
        <v>-484890.83999999997</v>
      </c>
    </row>
    <row r="53" spans="1:10" x14ac:dyDescent="0.35">
      <c r="A53" s="36">
        <v>2027</v>
      </c>
      <c r="B53" s="35" t="s">
        <v>11</v>
      </c>
      <c r="C53" s="35" t="s">
        <v>29</v>
      </c>
      <c r="D53" s="4" t="s">
        <v>61</v>
      </c>
      <c r="I53" s="10">
        <v>0.8</v>
      </c>
      <c r="J53" s="10">
        <v>-0.8</v>
      </c>
    </row>
    <row r="54" spans="1:10" x14ac:dyDescent="0.35">
      <c r="A54" s="36">
        <v>2027</v>
      </c>
      <c r="B54" s="35" t="s">
        <v>11</v>
      </c>
      <c r="C54" s="35" t="s">
        <v>29</v>
      </c>
      <c r="D54" s="4" t="s">
        <v>62</v>
      </c>
      <c r="I54" s="10">
        <v>125960.50999999998</v>
      </c>
      <c r="J54" s="10">
        <v>-125960.50999999998</v>
      </c>
    </row>
    <row r="55" spans="1:10" x14ac:dyDescent="0.35">
      <c r="A55" s="36">
        <v>2027</v>
      </c>
      <c r="B55" s="35" t="s">
        <v>11</v>
      </c>
      <c r="C55" s="35" t="s">
        <v>29</v>
      </c>
      <c r="D55" s="4" t="s">
        <v>63</v>
      </c>
      <c r="I55" s="10">
        <v>2.5</v>
      </c>
      <c r="J55" s="10">
        <v>-2.5</v>
      </c>
    </row>
    <row r="56" spans="1:10" x14ac:dyDescent="0.35">
      <c r="A56" s="36">
        <v>2027</v>
      </c>
      <c r="B56" s="35" t="s">
        <v>11</v>
      </c>
      <c r="C56" s="35" t="s">
        <v>29</v>
      </c>
      <c r="D56" s="4" t="s">
        <v>64</v>
      </c>
      <c r="I56" s="10">
        <v>955.23</v>
      </c>
      <c r="J56" s="10">
        <v>-955.23</v>
      </c>
    </row>
    <row r="57" spans="1:10" x14ac:dyDescent="0.35">
      <c r="A57" s="36">
        <v>2027</v>
      </c>
      <c r="B57" s="35" t="s">
        <v>11</v>
      </c>
      <c r="C57" s="35" t="s">
        <v>29</v>
      </c>
      <c r="D57" s="4" t="s">
        <v>65</v>
      </c>
      <c r="I57" s="10">
        <v>332.76000000000005</v>
      </c>
      <c r="J57" s="10">
        <v>-332.76000000000005</v>
      </c>
    </row>
    <row r="58" spans="1:10" x14ac:dyDescent="0.35">
      <c r="A58" s="36">
        <v>2027</v>
      </c>
      <c r="B58" s="35" t="s">
        <v>11</v>
      </c>
      <c r="C58" s="35" t="s">
        <v>66</v>
      </c>
      <c r="D58" s="5" t="s">
        <v>10</v>
      </c>
      <c r="E58" s="9">
        <v>12190778.84</v>
      </c>
      <c r="F58" s="9"/>
      <c r="G58" s="9"/>
      <c r="H58" s="9">
        <v>12190778.84</v>
      </c>
      <c r="I58" s="9">
        <v>5809345.2999999998</v>
      </c>
      <c r="J58" s="9">
        <v>6381433.54</v>
      </c>
    </row>
    <row r="59" spans="1:10" x14ac:dyDescent="0.35">
      <c r="A59" s="36">
        <v>2027</v>
      </c>
      <c r="B59" s="35" t="s">
        <v>11</v>
      </c>
      <c r="C59" s="35" t="s">
        <v>66</v>
      </c>
      <c r="D59" s="4" t="s">
        <v>67</v>
      </c>
      <c r="E59" s="10">
        <v>6195993.0300000003</v>
      </c>
      <c r="H59" s="10">
        <v>6195993.0300000003</v>
      </c>
      <c r="I59" s="10">
        <v>74520</v>
      </c>
      <c r="J59" s="10">
        <v>6121473.0300000003</v>
      </c>
    </row>
    <row r="60" spans="1:10" x14ac:dyDescent="0.35">
      <c r="A60" s="36">
        <v>2027</v>
      </c>
      <c r="B60" s="35" t="s">
        <v>11</v>
      </c>
      <c r="C60" s="35" t="s">
        <v>66</v>
      </c>
      <c r="D60" s="4" t="s">
        <v>68</v>
      </c>
      <c r="E60" s="10">
        <v>2219000</v>
      </c>
      <c r="H60" s="10">
        <v>2219000</v>
      </c>
      <c r="I60" s="10">
        <v>1875380</v>
      </c>
      <c r="J60" s="10">
        <v>343620</v>
      </c>
    </row>
    <row r="61" spans="1:10" x14ac:dyDescent="0.35">
      <c r="A61" s="36">
        <v>2027</v>
      </c>
      <c r="B61" s="35" t="s">
        <v>11</v>
      </c>
      <c r="C61" s="35" t="s">
        <v>66</v>
      </c>
      <c r="D61" s="4" t="s">
        <v>69</v>
      </c>
      <c r="E61" s="10">
        <v>1104950</v>
      </c>
      <c r="H61" s="10">
        <v>1104950</v>
      </c>
      <c r="I61" s="10">
        <v>1334833.4399999997</v>
      </c>
      <c r="J61" s="10">
        <v>-229883.43999999971</v>
      </c>
    </row>
    <row r="62" spans="1:10" x14ac:dyDescent="0.35">
      <c r="A62" s="36">
        <v>2027</v>
      </c>
      <c r="B62" s="35" t="s">
        <v>11</v>
      </c>
      <c r="C62" s="35" t="s">
        <v>66</v>
      </c>
      <c r="D62" s="4" t="s">
        <v>70</v>
      </c>
      <c r="E62" s="10">
        <v>814835.81</v>
      </c>
      <c r="H62" s="10">
        <v>814835.81</v>
      </c>
      <c r="I62" s="10">
        <v>5217.9599999999991</v>
      </c>
      <c r="J62" s="10">
        <v>809617.85000000009</v>
      </c>
    </row>
    <row r="63" spans="1:10" x14ac:dyDescent="0.35">
      <c r="A63" s="36">
        <v>2027</v>
      </c>
      <c r="B63" s="35" t="s">
        <v>11</v>
      </c>
      <c r="C63" s="35" t="s">
        <v>66</v>
      </c>
      <c r="D63" s="4" t="s">
        <v>71</v>
      </c>
      <c r="E63" s="10">
        <v>553900</v>
      </c>
      <c r="H63" s="10">
        <v>553900</v>
      </c>
      <c r="I63" s="10">
        <v>451628.26</v>
      </c>
      <c r="J63" s="10">
        <v>102271.73999999999</v>
      </c>
    </row>
    <row r="64" spans="1:10" x14ac:dyDescent="0.35">
      <c r="A64" s="36">
        <v>2027</v>
      </c>
      <c r="B64" s="35" t="s">
        <v>11</v>
      </c>
      <c r="C64" s="35" t="s">
        <v>66</v>
      </c>
      <c r="D64" s="4" t="s">
        <v>72</v>
      </c>
      <c r="E64" s="10">
        <v>553900</v>
      </c>
      <c r="H64" s="10">
        <v>553900</v>
      </c>
      <c r="I64" s="10">
        <v>99702</v>
      </c>
      <c r="J64" s="10">
        <v>454198</v>
      </c>
    </row>
    <row r="65" spans="1:10" x14ac:dyDescent="0.35">
      <c r="A65" s="36">
        <v>2027</v>
      </c>
      <c r="B65" s="35" t="s">
        <v>11</v>
      </c>
      <c r="C65" s="35" t="s">
        <v>66</v>
      </c>
      <c r="D65" s="4" t="s">
        <v>73</v>
      </c>
      <c r="E65" s="10">
        <v>510400</v>
      </c>
      <c r="H65" s="10">
        <v>510400</v>
      </c>
      <c r="I65" s="10">
        <v>91872</v>
      </c>
      <c r="J65" s="10">
        <v>418528</v>
      </c>
    </row>
    <row r="66" spans="1:10" x14ac:dyDescent="0.35">
      <c r="A66" s="36">
        <v>2027</v>
      </c>
      <c r="B66" s="35" t="s">
        <v>11</v>
      </c>
      <c r="C66" s="35" t="s">
        <v>66</v>
      </c>
      <c r="D66" s="4" t="s">
        <v>74</v>
      </c>
      <c r="E66" s="10">
        <v>237800</v>
      </c>
      <c r="H66" s="10">
        <v>237800</v>
      </c>
      <c r="J66" s="10">
        <v>237800</v>
      </c>
    </row>
    <row r="67" spans="1:10" x14ac:dyDescent="0.35">
      <c r="A67" s="36">
        <v>2027</v>
      </c>
      <c r="B67" s="35" t="s">
        <v>11</v>
      </c>
      <c r="C67" s="35" t="s">
        <v>66</v>
      </c>
      <c r="D67" s="4" t="s">
        <v>75</v>
      </c>
      <c r="E67" s="10">
        <v>0</v>
      </c>
      <c r="H67" s="10">
        <v>0</v>
      </c>
      <c r="I67" s="10">
        <v>320042.29000000004</v>
      </c>
      <c r="J67" s="10">
        <v>-320042.29000000004</v>
      </c>
    </row>
    <row r="68" spans="1:10" x14ac:dyDescent="0.35">
      <c r="A68" s="36">
        <v>2027</v>
      </c>
      <c r="B68" s="35" t="s">
        <v>11</v>
      </c>
      <c r="C68" s="35" t="s">
        <v>66</v>
      </c>
      <c r="D68" s="4" t="s">
        <v>76</v>
      </c>
      <c r="E68" s="10">
        <v>0</v>
      </c>
      <c r="H68" s="10">
        <v>0</v>
      </c>
      <c r="I68" s="10">
        <v>188463.01</v>
      </c>
      <c r="J68" s="10">
        <v>-188463.01</v>
      </c>
    </row>
    <row r="69" spans="1:10" x14ac:dyDescent="0.35">
      <c r="A69" s="36">
        <v>2027</v>
      </c>
      <c r="B69" s="35" t="s">
        <v>11</v>
      </c>
      <c r="C69" s="35" t="s">
        <v>66</v>
      </c>
      <c r="D69" s="4" t="s">
        <v>77</v>
      </c>
      <c r="E69" s="10">
        <v>0</v>
      </c>
      <c r="H69" s="10">
        <v>0</v>
      </c>
      <c r="I69" s="10">
        <v>49966.439999999995</v>
      </c>
      <c r="J69" s="10">
        <v>-49966.439999999995</v>
      </c>
    </row>
    <row r="70" spans="1:10" x14ac:dyDescent="0.35">
      <c r="A70" s="36">
        <v>2027</v>
      </c>
      <c r="B70" s="35" t="s">
        <v>11</v>
      </c>
      <c r="C70" s="35" t="s">
        <v>66</v>
      </c>
      <c r="D70" s="4" t="s">
        <v>78</v>
      </c>
      <c r="E70" s="10">
        <v>0</v>
      </c>
      <c r="H70" s="10">
        <v>0</v>
      </c>
      <c r="I70" s="10">
        <v>272865.15000000002</v>
      </c>
      <c r="J70" s="10">
        <v>-272865.15000000002</v>
      </c>
    </row>
    <row r="71" spans="1:10" x14ac:dyDescent="0.35">
      <c r="A71" s="36">
        <v>2027</v>
      </c>
      <c r="B71" s="35" t="s">
        <v>11</v>
      </c>
      <c r="C71" s="35" t="s">
        <v>66</v>
      </c>
      <c r="D71" s="4" t="s">
        <v>79</v>
      </c>
      <c r="E71" s="10">
        <v>0</v>
      </c>
      <c r="H71" s="10">
        <v>0</v>
      </c>
      <c r="I71" s="10">
        <v>354992.17000000004</v>
      </c>
      <c r="J71" s="10">
        <v>-354992.17000000004</v>
      </c>
    </row>
    <row r="72" spans="1:10" x14ac:dyDescent="0.35">
      <c r="A72" s="36">
        <v>2027</v>
      </c>
      <c r="B72" s="35" t="s">
        <v>11</v>
      </c>
      <c r="C72" s="35" t="s">
        <v>66</v>
      </c>
      <c r="D72" s="4" t="s">
        <v>80</v>
      </c>
      <c r="E72" s="10">
        <v>0</v>
      </c>
      <c r="H72" s="10">
        <v>0</v>
      </c>
      <c r="I72" s="10">
        <v>7918.43</v>
      </c>
      <c r="J72" s="10">
        <v>-7918.43</v>
      </c>
    </row>
    <row r="73" spans="1:10" x14ac:dyDescent="0.35">
      <c r="A73" s="36">
        <v>2027</v>
      </c>
      <c r="B73" s="35" t="s">
        <v>11</v>
      </c>
      <c r="C73" s="35" t="s">
        <v>66</v>
      </c>
      <c r="D73" s="4" t="s">
        <v>81</v>
      </c>
      <c r="E73" s="10">
        <v>0</v>
      </c>
      <c r="H73" s="10">
        <v>0</v>
      </c>
      <c r="I73" s="10">
        <v>992.65</v>
      </c>
      <c r="J73" s="10">
        <v>-992.65</v>
      </c>
    </row>
    <row r="74" spans="1:10" x14ac:dyDescent="0.35">
      <c r="A74" s="36">
        <v>2027</v>
      </c>
      <c r="B74" s="35" t="s">
        <v>11</v>
      </c>
      <c r="C74" s="35" t="s">
        <v>66</v>
      </c>
      <c r="D74" s="4" t="s">
        <v>82</v>
      </c>
      <c r="E74" s="10">
        <v>0</v>
      </c>
      <c r="H74" s="10">
        <v>0</v>
      </c>
      <c r="I74" s="10">
        <v>21684.140000000003</v>
      </c>
      <c r="J74" s="10">
        <v>-21684.140000000003</v>
      </c>
    </row>
    <row r="75" spans="1:10" x14ac:dyDescent="0.35">
      <c r="A75" s="36">
        <v>2027</v>
      </c>
      <c r="B75" s="35" t="s">
        <v>11</v>
      </c>
      <c r="C75" s="35" t="s">
        <v>66</v>
      </c>
      <c r="D75" s="4" t="s">
        <v>83</v>
      </c>
      <c r="E75" s="10">
        <v>0</v>
      </c>
      <c r="H75" s="10">
        <v>0</v>
      </c>
      <c r="I75" s="10">
        <v>26499.49</v>
      </c>
      <c r="J75" s="10">
        <v>-26499.49</v>
      </c>
    </row>
    <row r="76" spans="1:10" x14ac:dyDescent="0.35">
      <c r="A76" s="36">
        <v>2027</v>
      </c>
      <c r="B76" s="35" t="s">
        <v>11</v>
      </c>
      <c r="C76" s="35" t="s">
        <v>66</v>
      </c>
      <c r="D76" s="4" t="s">
        <v>84</v>
      </c>
      <c r="E76" s="10">
        <v>0</v>
      </c>
      <c r="H76" s="10">
        <v>0</v>
      </c>
      <c r="I76" s="10">
        <v>156989.18</v>
      </c>
      <c r="J76" s="10">
        <v>-156989.18</v>
      </c>
    </row>
    <row r="77" spans="1:10" x14ac:dyDescent="0.35">
      <c r="A77" s="36">
        <v>2027</v>
      </c>
      <c r="B77" s="35" t="s">
        <v>11</v>
      </c>
      <c r="C77" s="35" t="s">
        <v>66</v>
      </c>
      <c r="D77" s="4" t="s">
        <v>85</v>
      </c>
      <c r="E77" s="10">
        <v>0</v>
      </c>
      <c r="H77" s="10">
        <v>0</v>
      </c>
      <c r="I77" s="10">
        <v>189257.74</v>
      </c>
      <c r="J77" s="10">
        <v>-189257.74</v>
      </c>
    </row>
    <row r="78" spans="1:10" x14ac:dyDescent="0.35">
      <c r="A78" s="36">
        <v>2027</v>
      </c>
      <c r="B78" s="35" t="s">
        <v>11</v>
      </c>
      <c r="C78" s="35" t="s">
        <v>66</v>
      </c>
      <c r="D78" s="4" t="s">
        <v>86</v>
      </c>
      <c r="E78" s="10">
        <v>0</v>
      </c>
      <c r="H78" s="10">
        <v>0</v>
      </c>
      <c r="I78" s="10">
        <v>128790</v>
      </c>
      <c r="J78" s="10">
        <v>-128790</v>
      </c>
    </row>
    <row r="79" spans="1:10" x14ac:dyDescent="0.35">
      <c r="A79" s="36">
        <v>2027</v>
      </c>
      <c r="B79" s="35" t="s">
        <v>11</v>
      </c>
      <c r="C79" s="35" t="s">
        <v>66</v>
      </c>
      <c r="D79" s="4" t="s">
        <v>87</v>
      </c>
      <c r="E79" s="10">
        <v>0</v>
      </c>
      <c r="H79" s="10">
        <v>0</v>
      </c>
      <c r="I79" s="10">
        <v>25201.360000000001</v>
      </c>
      <c r="J79" s="10">
        <v>-25201.360000000001</v>
      </c>
    </row>
    <row r="80" spans="1:10" x14ac:dyDescent="0.35">
      <c r="A80" s="36">
        <v>2027</v>
      </c>
      <c r="B80" s="35" t="s">
        <v>11</v>
      </c>
      <c r="C80" s="35" t="s">
        <v>66</v>
      </c>
      <c r="D80" s="4" t="s">
        <v>88</v>
      </c>
      <c r="E80" s="10">
        <v>0</v>
      </c>
      <c r="H80" s="10">
        <v>0</v>
      </c>
      <c r="I80" s="10">
        <v>61016.920000000006</v>
      </c>
      <c r="J80" s="10">
        <v>-61016.920000000006</v>
      </c>
    </row>
    <row r="81" spans="1:10" x14ac:dyDescent="0.35">
      <c r="A81" s="36">
        <v>2027</v>
      </c>
      <c r="B81" s="35" t="s">
        <v>11</v>
      </c>
      <c r="C81" s="35" t="s">
        <v>66</v>
      </c>
      <c r="D81" s="4" t="s">
        <v>89</v>
      </c>
      <c r="E81" s="10">
        <v>0</v>
      </c>
      <c r="H81" s="10">
        <v>0</v>
      </c>
      <c r="I81" s="10">
        <v>26388</v>
      </c>
      <c r="J81" s="10">
        <v>-26388</v>
      </c>
    </row>
    <row r="82" spans="1:10" x14ac:dyDescent="0.35">
      <c r="A82" s="36">
        <v>2027</v>
      </c>
      <c r="B82" s="35" t="s">
        <v>11</v>
      </c>
      <c r="C82" s="35" t="s">
        <v>66</v>
      </c>
      <c r="D82" s="4" t="s">
        <v>90</v>
      </c>
      <c r="E82" s="10">
        <v>0</v>
      </c>
      <c r="H82" s="10">
        <v>0</v>
      </c>
      <c r="I82" s="10">
        <v>1654.39</v>
      </c>
      <c r="J82" s="10">
        <v>-1654.39</v>
      </c>
    </row>
    <row r="83" spans="1:10" x14ac:dyDescent="0.35">
      <c r="A83" s="36">
        <v>2027</v>
      </c>
      <c r="B83" s="35" t="s">
        <v>11</v>
      </c>
      <c r="C83" s="35" t="s">
        <v>66</v>
      </c>
      <c r="D83" s="4" t="s">
        <v>91</v>
      </c>
      <c r="I83" s="10">
        <v>43470.279999999992</v>
      </c>
      <c r="J83" s="10">
        <v>-43470.279999999992</v>
      </c>
    </row>
    <row r="84" spans="1:10" x14ac:dyDescent="0.35">
      <c r="A84" s="36">
        <v>2027</v>
      </c>
      <c r="B84" s="35" t="s">
        <v>11</v>
      </c>
      <c r="C84" s="35" t="s">
        <v>92</v>
      </c>
      <c r="D84" s="5" t="s">
        <v>10</v>
      </c>
      <c r="E84" s="9">
        <v>4756086.3333000001</v>
      </c>
      <c r="F84" s="9"/>
      <c r="G84" s="9"/>
      <c r="H84" s="9">
        <v>4756086.33</v>
      </c>
      <c r="I84" s="9">
        <v>3452138.4400000004</v>
      </c>
      <c r="J84" s="9">
        <v>1303947.8932999996</v>
      </c>
    </row>
    <row r="85" spans="1:10" x14ac:dyDescent="0.35">
      <c r="A85" s="36">
        <v>2027</v>
      </c>
      <c r="B85" s="35" t="s">
        <v>11</v>
      </c>
      <c r="C85" s="35" t="s">
        <v>92</v>
      </c>
      <c r="D85" s="4" t="s">
        <v>93</v>
      </c>
      <c r="E85" s="10">
        <v>1280054</v>
      </c>
      <c r="H85" s="10">
        <v>1280054</v>
      </c>
      <c r="I85" s="10">
        <v>121400.14</v>
      </c>
      <c r="J85" s="10">
        <v>1158653.8600000001</v>
      </c>
    </row>
    <row r="86" spans="1:10" x14ac:dyDescent="0.35">
      <c r="A86" s="36">
        <v>2027</v>
      </c>
      <c r="B86" s="35" t="s">
        <v>11</v>
      </c>
      <c r="C86" s="35" t="s">
        <v>92</v>
      </c>
      <c r="D86" s="4" t="s">
        <v>94</v>
      </c>
      <c r="E86" s="10">
        <v>820700</v>
      </c>
      <c r="H86" s="10">
        <v>820700</v>
      </c>
      <c r="J86" s="10">
        <v>820700</v>
      </c>
    </row>
    <row r="87" spans="1:10" x14ac:dyDescent="0.35">
      <c r="A87" s="36">
        <v>2027</v>
      </c>
      <c r="B87" s="35" t="s">
        <v>11</v>
      </c>
      <c r="C87" s="35" t="s">
        <v>92</v>
      </c>
      <c r="D87" s="4" t="s">
        <v>95</v>
      </c>
      <c r="E87" s="10">
        <v>697700</v>
      </c>
      <c r="H87" s="10">
        <v>697700</v>
      </c>
      <c r="I87" s="10">
        <v>196984</v>
      </c>
      <c r="J87" s="10">
        <v>500716</v>
      </c>
    </row>
    <row r="88" spans="1:10" x14ac:dyDescent="0.35">
      <c r="A88" s="36">
        <v>2027</v>
      </c>
      <c r="B88" s="35" t="s">
        <v>11</v>
      </c>
      <c r="C88" s="35" t="s">
        <v>92</v>
      </c>
      <c r="D88" s="4" t="s">
        <v>96</v>
      </c>
      <c r="E88" s="10">
        <v>593534</v>
      </c>
      <c r="H88" s="10">
        <v>593534</v>
      </c>
      <c r="I88" s="10">
        <v>100913</v>
      </c>
      <c r="J88" s="10">
        <v>492621</v>
      </c>
    </row>
    <row r="89" spans="1:10" x14ac:dyDescent="0.35">
      <c r="A89" s="36">
        <v>2027</v>
      </c>
      <c r="B89" s="35" t="s">
        <v>11</v>
      </c>
      <c r="C89" s="35" t="s">
        <v>92</v>
      </c>
      <c r="D89" s="4" t="s">
        <v>97</v>
      </c>
      <c r="E89" s="10">
        <v>355732</v>
      </c>
      <c r="H89" s="10">
        <v>355732</v>
      </c>
      <c r="I89" s="10">
        <v>32749.48</v>
      </c>
      <c r="J89" s="10">
        <v>322982.52</v>
      </c>
    </row>
    <row r="90" spans="1:10" x14ac:dyDescent="0.35">
      <c r="A90" s="36">
        <v>2027</v>
      </c>
      <c r="B90" s="35" t="s">
        <v>11</v>
      </c>
      <c r="C90" s="35" t="s">
        <v>92</v>
      </c>
      <c r="D90" s="4" t="s">
        <v>98</v>
      </c>
      <c r="E90" s="10">
        <v>355683.3333</v>
      </c>
      <c r="H90" s="10">
        <v>355683.33</v>
      </c>
      <c r="I90" s="10">
        <v>83845.600000000006</v>
      </c>
      <c r="J90" s="10">
        <v>271837.73329999996</v>
      </c>
    </row>
    <row r="91" spans="1:10" x14ac:dyDescent="0.35">
      <c r="A91" s="36">
        <v>2027</v>
      </c>
      <c r="B91" s="35" t="s">
        <v>11</v>
      </c>
      <c r="C91" s="35" t="s">
        <v>92</v>
      </c>
      <c r="D91" s="4" t="s">
        <v>99</v>
      </c>
      <c r="E91" s="10">
        <v>355683</v>
      </c>
      <c r="H91" s="10">
        <v>355683</v>
      </c>
      <c r="I91" s="10">
        <v>295041.35000000003</v>
      </c>
      <c r="J91" s="10">
        <v>60641.649999999965</v>
      </c>
    </row>
    <row r="92" spans="1:10" x14ac:dyDescent="0.35">
      <c r="A92" s="36">
        <v>2027</v>
      </c>
      <c r="B92" s="35" t="s">
        <v>11</v>
      </c>
      <c r="C92" s="35" t="s">
        <v>92</v>
      </c>
      <c r="D92" s="4" t="s">
        <v>100</v>
      </c>
      <c r="E92" s="10">
        <v>297000</v>
      </c>
      <c r="H92" s="10">
        <v>297000</v>
      </c>
      <c r="I92" s="10">
        <v>372160.1</v>
      </c>
      <c r="J92" s="10">
        <v>-75160.099999999977</v>
      </c>
    </row>
    <row r="93" spans="1:10" x14ac:dyDescent="0.35">
      <c r="A93" s="36">
        <v>2027</v>
      </c>
      <c r="B93" s="35" t="s">
        <v>11</v>
      </c>
      <c r="C93" s="35" t="s">
        <v>92</v>
      </c>
      <c r="D93" s="4" t="s">
        <v>101</v>
      </c>
      <c r="E93" s="10">
        <v>0</v>
      </c>
      <c r="H93" s="10">
        <v>0</v>
      </c>
      <c r="I93" s="10">
        <v>17134.23</v>
      </c>
      <c r="J93" s="10">
        <v>-17134.23</v>
      </c>
    </row>
    <row r="94" spans="1:10" x14ac:dyDescent="0.35">
      <c r="A94" s="36">
        <v>2027</v>
      </c>
      <c r="B94" s="35" t="s">
        <v>11</v>
      </c>
      <c r="C94" s="35" t="s">
        <v>92</v>
      </c>
      <c r="D94" s="4" t="s">
        <v>102</v>
      </c>
      <c r="E94" s="10">
        <v>0</v>
      </c>
      <c r="H94" s="10">
        <v>0</v>
      </c>
      <c r="I94" s="10">
        <v>1854.94</v>
      </c>
      <c r="J94" s="10">
        <v>-1854.94</v>
      </c>
    </row>
    <row r="95" spans="1:10" x14ac:dyDescent="0.35">
      <c r="A95" s="36">
        <v>2027</v>
      </c>
      <c r="B95" s="35" t="s">
        <v>11</v>
      </c>
      <c r="C95" s="35" t="s">
        <v>92</v>
      </c>
      <c r="D95" s="4" t="s">
        <v>103</v>
      </c>
      <c r="E95" s="10">
        <v>0</v>
      </c>
      <c r="H95" s="10">
        <v>0</v>
      </c>
      <c r="I95" s="10">
        <v>53433.130000000005</v>
      </c>
      <c r="J95" s="10">
        <v>-53433.130000000005</v>
      </c>
    </row>
    <row r="96" spans="1:10" x14ac:dyDescent="0.35">
      <c r="A96" s="36">
        <v>2027</v>
      </c>
      <c r="B96" s="35" t="s">
        <v>11</v>
      </c>
      <c r="C96" s="35" t="s">
        <v>92</v>
      </c>
      <c r="D96" s="4" t="s">
        <v>104</v>
      </c>
      <c r="E96" s="10">
        <v>0</v>
      </c>
      <c r="H96" s="10">
        <v>0</v>
      </c>
      <c r="I96" s="10">
        <v>317572.35000000003</v>
      </c>
      <c r="J96" s="10">
        <v>-317572.35000000003</v>
      </c>
    </row>
    <row r="97" spans="1:10" x14ac:dyDescent="0.35">
      <c r="A97" s="36">
        <v>2027</v>
      </c>
      <c r="B97" s="35" t="s">
        <v>11</v>
      </c>
      <c r="C97" s="35" t="s">
        <v>92</v>
      </c>
      <c r="D97" s="4" t="s">
        <v>105</v>
      </c>
      <c r="E97" s="10">
        <v>0</v>
      </c>
      <c r="H97" s="10">
        <v>0</v>
      </c>
      <c r="J97" s="10">
        <v>0</v>
      </c>
    </row>
    <row r="98" spans="1:10" x14ac:dyDescent="0.35">
      <c r="A98" s="36">
        <v>2027</v>
      </c>
      <c r="B98" s="35" t="s">
        <v>11</v>
      </c>
      <c r="C98" s="35" t="s">
        <v>92</v>
      </c>
      <c r="D98" s="4" t="s">
        <v>106</v>
      </c>
      <c r="E98" s="10">
        <v>0</v>
      </c>
      <c r="H98" s="10">
        <v>0</v>
      </c>
      <c r="I98" s="10">
        <v>748465.34</v>
      </c>
      <c r="J98" s="10">
        <v>-748465.34</v>
      </c>
    </row>
    <row r="99" spans="1:10" x14ac:dyDescent="0.35">
      <c r="A99" s="36">
        <v>2027</v>
      </c>
      <c r="B99" s="35" t="s">
        <v>11</v>
      </c>
      <c r="C99" s="35" t="s">
        <v>92</v>
      </c>
      <c r="D99" s="4" t="s">
        <v>107</v>
      </c>
      <c r="E99" s="10">
        <v>0</v>
      </c>
      <c r="H99" s="10">
        <v>0</v>
      </c>
      <c r="J99" s="10">
        <v>0</v>
      </c>
    </row>
    <row r="100" spans="1:10" x14ac:dyDescent="0.35">
      <c r="A100" s="36">
        <v>2027</v>
      </c>
      <c r="B100" s="35" t="s">
        <v>11</v>
      </c>
      <c r="C100" s="35" t="s">
        <v>92</v>
      </c>
      <c r="D100" s="4" t="s">
        <v>108</v>
      </c>
      <c r="E100" s="10">
        <v>0</v>
      </c>
      <c r="H100" s="10">
        <v>0</v>
      </c>
      <c r="I100" s="10">
        <v>164600.78999999998</v>
      </c>
      <c r="J100" s="10">
        <v>-164600.78999999998</v>
      </c>
    </row>
    <row r="101" spans="1:10" x14ac:dyDescent="0.35">
      <c r="A101" s="36">
        <v>2027</v>
      </c>
      <c r="B101" s="35" t="s">
        <v>11</v>
      </c>
      <c r="C101" s="35" t="s">
        <v>92</v>
      </c>
      <c r="D101" s="4" t="s">
        <v>109</v>
      </c>
      <c r="E101" s="10">
        <v>0</v>
      </c>
      <c r="H101" s="10">
        <v>0</v>
      </c>
      <c r="I101" s="10">
        <v>82440</v>
      </c>
      <c r="J101" s="10">
        <v>-82440</v>
      </c>
    </row>
    <row r="102" spans="1:10" x14ac:dyDescent="0.35">
      <c r="A102" s="36">
        <v>2027</v>
      </c>
      <c r="B102" s="35" t="s">
        <v>11</v>
      </c>
      <c r="C102" s="35" t="s">
        <v>92</v>
      </c>
      <c r="D102" s="4" t="s">
        <v>110</v>
      </c>
      <c r="E102" s="10">
        <v>0</v>
      </c>
      <c r="H102" s="10">
        <v>0</v>
      </c>
      <c r="I102" s="10">
        <v>53055.81</v>
      </c>
      <c r="J102" s="10">
        <v>-53055.81</v>
      </c>
    </row>
    <row r="103" spans="1:10" x14ac:dyDescent="0.35">
      <c r="A103" s="36">
        <v>2027</v>
      </c>
      <c r="B103" s="35" t="s">
        <v>11</v>
      </c>
      <c r="C103" s="35" t="s">
        <v>92</v>
      </c>
      <c r="D103" s="4" t="s">
        <v>111</v>
      </c>
      <c r="E103" s="10">
        <v>0</v>
      </c>
      <c r="H103" s="10">
        <v>0</v>
      </c>
      <c r="I103" s="10">
        <v>803166.04999999981</v>
      </c>
      <c r="J103" s="10">
        <v>-803166.04999999981</v>
      </c>
    </row>
    <row r="104" spans="1:10" x14ac:dyDescent="0.35">
      <c r="A104" s="36">
        <v>2027</v>
      </c>
      <c r="B104" s="35" t="s">
        <v>11</v>
      </c>
      <c r="C104" s="35" t="s">
        <v>92</v>
      </c>
      <c r="D104" s="4" t="s">
        <v>112</v>
      </c>
      <c r="I104" s="10">
        <v>7248</v>
      </c>
      <c r="J104" s="10">
        <v>-7248</v>
      </c>
    </row>
    <row r="105" spans="1:10" x14ac:dyDescent="0.35">
      <c r="A105" s="36">
        <v>2027</v>
      </c>
      <c r="B105" s="35" t="s">
        <v>11</v>
      </c>
      <c r="C105" s="35" t="s">
        <v>92</v>
      </c>
      <c r="D105" s="4" t="s">
        <v>113</v>
      </c>
      <c r="I105" s="10">
        <v>0</v>
      </c>
      <c r="J105" s="10">
        <v>0</v>
      </c>
    </row>
    <row r="106" spans="1:10" x14ac:dyDescent="0.35">
      <c r="A106" s="36">
        <v>2027</v>
      </c>
      <c r="B106" s="35" t="s">
        <v>11</v>
      </c>
      <c r="C106" s="35" t="s">
        <v>92</v>
      </c>
      <c r="D106" s="4" t="s">
        <v>114</v>
      </c>
      <c r="I106" s="10">
        <v>74.13000000000001</v>
      </c>
      <c r="J106" s="10">
        <v>-74.13000000000001</v>
      </c>
    </row>
    <row r="107" spans="1:10" x14ac:dyDescent="0.35">
      <c r="A107" s="36">
        <v>2027</v>
      </c>
      <c r="B107" s="35" t="s">
        <v>11</v>
      </c>
      <c r="C107" s="35" t="s">
        <v>115</v>
      </c>
      <c r="D107" s="5" t="s">
        <v>10</v>
      </c>
      <c r="E107" s="9">
        <v>3552526</v>
      </c>
      <c r="F107" s="9"/>
      <c r="G107" s="9"/>
      <c r="H107" s="9">
        <v>3552526</v>
      </c>
      <c r="I107" s="9">
        <v>10038616.539999999</v>
      </c>
      <c r="J107" s="9">
        <v>-6486090.5399999991</v>
      </c>
    </row>
    <row r="108" spans="1:10" x14ac:dyDescent="0.35">
      <c r="A108" s="36">
        <v>2027</v>
      </c>
      <c r="B108" s="35" t="s">
        <v>11</v>
      </c>
      <c r="C108" s="35" t="s">
        <v>115</v>
      </c>
      <c r="D108" s="4" t="s">
        <v>116</v>
      </c>
      <c r="E108" s="10">
        <v>1752000</v>
      </c>
      <c r="H108" s="10">
        <v>1752000</v>
      </c>
      <c r="I108" s="10">
        <v>7869727.3100000005</v>
      </c>
      <c r="J108" s="10">
        <v>-6117727.3100000005</v>
      </c>
    </row>
    <row r="109" spans="1:10" x14ac:dyDescent="0.35">
      <c r="A109" s="36">
        <v>2027</v>
      </c>
      <c r="B109" s="35" t="s">
        <v>11</v>
      </c>
      <c r="C109" s="35" t="s">
        <v>115</v>
      </c>
      <c r="D109" s="4" t="s">
        <v>117</v>
      </c>
      <c r="E109" s="10">
        <v>258894</v>
      </c>
      <c r="H109" s="10">
        <v>258894</v>
      </c>
      <c r="J109" s="10">
        <v>258894</v>
      </c>
    </row>
    <row r="110" spans="1:10" x14ac:dyDescent="0.35">
      <c r="A110" s="36">
        <v>2027</v>
      </c>
      <c r="B110" s="35" t="s">
        <v>11</v>
      </c>
      <c r="C110" s="35" t="s">
        <v>115</v>
      </c>
      <c r="D110" s="4" t="s">
        <v>118</v>
      </c>
      <c r="E110" s="10">
        <v>258890</v>
      </c>
      <c r="H110" s="10">
        <v>258890</v>
      </c>
      <c r="J110" s="10">
        <v>258890</v>
      </c>
    </row>
    <row r="111" spans="1:10" x14ac:dyDescent="0.35">
      <c r="A111" s="36">
        <v>2027</v>
      </c>
      <c r="B111" s="35" t="s">
        <v>11</v>
      </c>
      <c r="C111" s="35" t="s">
        <v>115</v>
      </c>
      <c r="D111" s="4" t="s">
        <v>119</v>
      </c>
      <c r="E111" s="10">
        <v>258890</v>
      </c>
      <c r="H111" s="10">
        <v>258890</v>
      </c>
      <c r="J111" s="10">
        <v>258890</v>
      </c>
    </row>
    <row r="112" spans="1:10" x14ac:dyDescent="0.35">
      <c r="A112" s="36">
        <v>2027</v>
      </c>
      <c r="B112" s="35" t="s">
        <v>11</v>
      </c>
      <c r="C112" s="35" t="s">
        <v>115</v>
      </c>
      <c r="D112" s="4" t="s">
        <v>120</v>
      </c>
      <c r="E112" s="10">
        <v>258890</v>
      </c>
      <c r="H112" s="10">
        <v>258890</v>
      </c>
      <c r="J112" s="10">
        <v>258890</v>
      </c>
    </row>
    <row r="113" spans="1:10" x14ac:dyDescent="0.35">
      <c r="A113" s="36">
        <v>2027</v>
      </c>
      <c r="B113" s="35" t="s">
        <v>11</v>
      </c>
      <c r="C113" s="35" t="s">
        <v>115</v>
      </c>
      <c r="D113" s="4" t="s">
        <v>121</v>
      </c>
      <c r="E113" s="10">
        <v>127833</v>
      </c>
      <c r="H113" s="10">
        <v>127833</v>
      </c>
      <c r="I113" s="10">
        <v>111047.5</v>
      </c>
      <c r="J113" s="10">
        <v>16785.5</v>
      </c>
    </row>
    <row r="114" spans="1:10" x14ac:dyDescent="0.35">
      <c r="A114" s="36">
        <v>2027</v>
      </c>
      <c r="B114" s="35" t="s">
        <v>11</v>
      </c>
      <c r="C114" s="35" t="s">
        <v>115</v>
      </c>
      <c r="D114" s="4" t="s">
        <v>122</v>
      </c>
      <c r="E114" s="10">
        <v>127833</v>
      </c>
      <c r="H114" s="10">
        <v>127833</v>
      </c>
      <c r="I114" s="10">
        <v>123752.5</v>
      </c>
      <c r="J114" s="10">
        <v>4080.5</v>
      </c>
    </row>
    <row r="115" spans="1:10" x14ac:dyDescent="0.35">
      <c r="A115" s="36">
        <v>2027</v>
      </c>
      <c r="B115" s="35" t="s">
        <v>11</v>
      </c>
      <c r="C115" s="35" t="s">
        <v>115</v>
      </c>
      <c r="D115" s="4" t="s">
        <v>123</v>
      </c>
      <c r="E115" s="10">
        <v>127833</v>
      </c>
      <c r="H115" s="10">
        <v>127833</v>
      </c>
      <c r="I115" s="10">
        <v>326477.5</v>
      </c>
      <c r="J115" s="10">
        <v>-198644.5</v>
      </c>
    </row>
    <row r="116" spans="1:10" x14ac:dyDescent="0.35">
      <c r="A116" s="36">
        <v>2027</v>
      </c>
      <c r="B116" s="35" t="s">
        <v>11</v>
      </c>
      <c r="C116" s="35" t="s">
        <v>115</v>
      </c>
      <c r="D116" s="4" t="s">
        <v>124</v>
      </c>
      <c r="E116" s="10">
        <v>127833</v>
      </c>
      <c r="H116" s="10">
        <v>127833</v>
      </c>
      <c r="I116" s="10">
        <v>486972.08</v>
      </c>
      <c r="J116" s="10">
        <v>-359139.08</v>
      </c>
    </row>
    <row r="117" spans="1:10" x14ac:dyDescent="0.35">
      <c r="A117" s="36">
        <v>2027</v>
      </c>
      <c r="B117" s="35" t="s">
        <v>11</v>
      </c>
      <c r="C117" s="35" t="s">
        <v>115</v>
      </c>
      <c r="D117" s="4" t="s">
        <v>125</v>
      </c>
      <c r="E117" s="10">
        <v>127833</v>
      </c>
      <c r="H117" s="10">
        <v>127833</v>
      </c>
      <c r="I117" s="10">
        <v>147132.5</v>
      </c>
      <c r="J117" s="10">
        <v>-19299.5</v>
      </c>
    </row>
    <row r="118" spans="1:10" x14ac:dyDescent="0.35">
      <c r="A118" s="36">
        <v>2027</v>
      </c>
      <c r="B118" s="35" t="s">
        <v>11</v>
      </c>
      <c r="C118" s="35" t="s">
        <v>115</v>
      </c>
      <c r="D118" s="4" t="s">
        <v>126</v>
      </c>
      <c r="E118" s="10">
        <v>125797</v>
      </c>
      <c r="H118" s="10">
        <v>125797</v>
      </c>
      <c r="I118" s="10">
        <v>253350</v>
      </c>
      <c r="J118" s="10">
        <v>-127553</v>
      </c>
    </row>
    <row r="119" spans="1:10" x14ac:dyDescent="0.35">
      <c r="A119" s="36">
        <v>2027</v>
      </c>
      <c r="B119" s="35" t="s">
        <v>11</v>
      </c>
      <c r="C119" s="35" t="s">
        <v>115</v>
      </c>
      <c r="D119" s="4" t="s">
        <v>127</v>
      </c>
      <c r="E119" s="10">
        <v>0</v>
      </c>
      <c r="H119" s="10">
        <v>0</v>
      </c>
      <c r="I119" s="10">
        <v>0.01</v>
      </c>
      <c r="J119" s="10">
        <v>-0.01</v>
      </c>
    </row>
    <row r="120" spans="1:10" x14ac:dyDescent="0.35">
      <c r="A120" s="36">
        <v>2027</v>
      </c>
      <c r="B120" s="35" t="s">
        <v>11</v>
      </c>
      <c r="C120" s="35" t="s">
        <v>115</v>
      </c>
      <c r="D120" s="4" t="s">
        <v>128</v>
      </c>
      <c r="E120" s="10">
        <v>0</v>
      </c>
      <c r="H120" s="10">
        <v>0</v>
      </c>
      <c r="I120" s="10">
        <v>281224.78999999998</v>
      </c>
      <c r="J120" s="10">
        <v>-281224.78999999998</v>
      </c>
    </row>
    <row r="121" spans="1:10" x14ac:dyDescent="0.35">
      <c r="A121" s="36">
        <v>2027</v>
      </c>
      <c r="B121" s="35" t="s">
        <v>11</v>
      </c>
      <c r="C121" s="35" t="s">
        <v>115</v>
      </c>
      <c r="D121" s="4" t="s">
        <v>129</v>
      </c>
      <c r="E121" s="10">
        <v>0</v>
      </c>
      <c r="H121" s="10">
        <v>0</v>
      </c>
      <c r="I121" s="10">
        <v>166468.68</v>
      </c>
      <c r="J121" s="10">
        <v>-166468.68</v>
      </c>
    </row>
    <row r="122" spans="1:10" x14ac:dyDescent="0.35">
      <c r="A122" s="36">
        <v>2027</v>
      </c>
      <c r="B122" s="35" t="s">
        <v>11</v>
      </c>
      <c r="C122" s="35" t="s">
        <v>115</v>
      </c>
      <c r="D122" s="4" t="s">
        <v>130</v>
      </c>
      <c r="E122" s="10">
        <v>0</v>
      </c>
      <c r="H122" s="10">
        <v>0</v>
      </c>
      <c r="I122" s="10">
        <v>6387.8</v>
      </c>
      <c r="J122" s="10">
        <v>-6387.8</v>
      </c>
    </row>
    <row r="123" spans="1:10" x14ac:dyDescent="0.35">
      <c r="A123" s="36">
        <v>2027</v>
      </c>
      <c r="B123" s="35" t="s">
        <v>11</v>
      </c>
      <c r="C123" s="35" t="s">
        <v>115</v>
      </c>
      <c r="D123" s="4" t="s">
        <v>131</v>
      </c>
      <c r="E123" s="10">
        <v>0</v>
      </c>
      <c r="H123" s="10">
        <v>0</v>
      </c>
      <c r="I123" s="10">
        <v>163091.54999999999</v>
      </c>
      <c r="J123" s="10">
        <v>-163091.54999999999</v>
      </c>
    </row>
    <row r="124" spans="1:10" x14ac:dyDescent="0.35">
      <c r="A124" s="36">
        <v>2027</v>
      </c>
      <c r="B124" s="35" t="s">
        <v>11</v>
      </c>
      <c r="C124" s="35" t="s">
        <v>115</v>
      </c>
      <c r="D124" s="4" t="s">
        <v>132</v>
      </c>
      <c r="E124" s="10">
        <v>0</v>
      </c>
      <c r="H124" s="10">
        <v>0</v>
      </c>
      <c r="J124" s="10">
        <v>0</v>
      </c>
    </row>
    <row r="125" spans="1:10" x14ac:dyDescent="0.35">
      <c r="A125" s="36">
        <v>2027</v>
      </c>
      <c r="B125" s="35" t="s">
        <v>11</v>
      </c>
      <c r="C125" s="35" t="s">
        <v>115</v>
      </c>
      <c r="D125" s="4" t="s">
        <v>133</v>
      </c>
      <c r="E125" s="10">
        <v>0</v>
      </c>
      <c r="H125" s="10">
        <v>0</v>
      </c>
      <c r="I125" s="10">
        <v>23518.769999999997</v>
      </c>
      <c r="J125" s="10">
        <v>-23518.769999999997</v>
      </c>
    </row>
    <row r="126" spans="1:10" x14ac:dyDescent="0.35">
      <c r="A126" s="36">
        <v>2027</v>
      </c>
      <c r="B126" s="35" t="s">
        <v>11</v>
      </c>
      <c r="C126" s="35" t="s">
        <v>115</v>
      </c>
      <c r="D126" s="4" t="s">
        <v>134</v>
      </c>
      <c r="E126" s="10">
        <v>0</v>
      </c>
      <c r="H126" s="10">
        <v>0</v>
      </c>
      <c r="I126" s="10">
        <v>6696.9800000000014</v>
      </c>
      <c r="J126" s="10">
        <v>-6696.9800000000014</v>
      </c>
    </row>
    <row r="127" spans="1:10" x14ac:dyDescent="0.35">
      <c r="A127" s="36">
        <v>2027</v>
      </c>
      <c r="B127" s="35" t="s">
        <v>11</v>
      </c>
      <c r="C127" s="35" t="s">
        <v>115</v>
      </c>
      <c r="D127" s="4" t="s">
        <v>135</v>
      </c>
      <c r="E127" s="10">
        <v>0</v>
      </c>
      <c r="H127" s="10">
        <v>0</v>
      </c>
      <c r="I127" s="10">
        <v>20833</v>
      </c>
      <c r="J127" s="10">
        <v>-20833</v>
      </c>
    </row>
    <row r="128" spans="1:10" x14ac:dyDescent="0.35">
      <c r="A128" s="36">
        <v>2027</v>
      </c>
      <c r="B128" s="35" t="s">
        <v>11</v>
      </c>
      <c r="C128" s="35" t="s">
        <v>115</v>
      </c>
      <c r="D128" s="4" t="s">
        <v>136</v>
      </c>
      <c r="I128" s="10">
        <v>33600.54</v>
      </c>
      <c r="J128" s="10">
        <v>-33600.54</v>
      </c>
    </row>
    <row r="129" spans="1:10" x14ac:dyDescent="0.35">
      <c r="A129" s="36">
        <v>2027</v>
      </c>
      <c r="B129" s="35" t="s">
        <v>11</v>
      </c>
      <c r="C129" s="35" t="s">
        <v>115</v>
      </c>
      <c r="D129" s="4" t="s">
        <v>137</v>
      </c>
      <c r="I129" s="10">
        <v>18335.03</v>
      </c>
      <c r="J129" s="10">
        <v>-18335.03</v>
      </c>
    </row>
    <row r="130" spans="1:10" x14ac:dyDescent="0.35">
      <c r="A130" s="36">
        <v>2027</v>
      </c>
      <c r="B130" s="35" t="s">
        <v>11</v>
      </c>
      <c r="C130" s="35" t="s">
        <v>138</v>
      </c>
      <c r="D130" s="5" t="s">
        <v>10</v>
      </c>
      <c r="E130" s="9">
        <v>0</v>
      </c>
      <c r="F130" s="9"/>
      <c r="G130" s="9"/>
      <c r="H130" s="9">
        <v>0</v>
      </c>
      <c r="I130" s="9">
        <v>7537.0700000000006</v>
      </c>
      <c r="J130" s="9">
        <v>-7537.0700000000006</v>
      </c>
    </row>
    <row r="131" spans="1:10" x14ac:dyDescent="0.35">
      <c r="A131" s="36">
        <v>2027</v>
      </c>
      <c r="B131" s="35" t="s">
        <v>11</v>
      </c>
      <c r="C131" s="35" t="s">
        <v>138</v>
      </c>
      <c r="D131" s="4" t="s">
        <v>139</v>
      </c>
      <c r="E131" s="10">
        <v>0</v>
      </c>
      <c r="H131" s="10">
        <v>0</v>
      </c>
      <c r="I131" s="10">
        <v>7537.0700000000006</v>
      </c>
      <c r="J131" s="10">
        <v>-7537.0700000000006</v>
      </c>
    </row>
    <row r="132" spans="1:10" x14ac:dyDescent="0.35">
      <c r="A132" s="36">
        <v>2027</v>
      </c>
      <c r="B132" s="35" t="s">
        <v>11</v>
      </c>
      <c r="C132" s="35" t="s">
        <v>140</v>
      </c>
      <c r="D132" s="5" t="s">
        <v>10</v>
      </c>
      <c r="E132" s="9">
        <v>0</v>
      </c>
      <c r="F132" s="9"/>
      <c r="G132" s="9"/>
      <c r="H132" s="9">
        <v>0</v>
      </c>
      <c r="I132" s="9">
        <v>347112.45999999996</v>
      </c>
      <c r="J132" s="9">
        <v>-347112.45999999996</v>
      </c>
    </row>
    <row r="133" spans="1:10" x14ac:dyDescent="0.35">
      <c r="A133" s="36">
        <v>2027</v>
      </c>
      <c r="B133" s="35" t="s">
        <v>11</v>
      </c>
      <c r="C133" s="35" t="s">
        <v>140</v>
      </c>
      <c r="D133" s="4" t="s">
        <v>141</v>
      </c>
      <c r="E133" s="10">
        <v>0</v>
      </c>
      <c r="H133" s="10">
        <v>0</v>
      </c>
      <c r="I133" s="10">
        <v>347112.45999999996</v>
      </c>
      <c r="J133" s="10">
        <v>-347112.45999999996</v>
      </c>
    </row>
    <row r="134" spans="1:10" x14ac:dyDescent="0.35">
      <c r="A134" s="36">
        <v>2027</v>
      </c>
      <c r="B134" s="35" t="s">
        <v>11</v>
      </c>
      <c r="C134" s="35" t="s">
        <v>142</v>
      </c>
      <c r="D134" s="5" t="s">
        <v>10</v>
      </c>
      <c r="E134" s="9"/>
      <c r="F134" s="9"/>
      <c r="G134" s="9"/>
      <c r="H134" s="9"/>
      <c r="I134" s="9">
        <v>198088.38</v>
      </c>
      <c r="J134" s="9">
        <v>-198088.38</v>
      </c>
    </row>
    <row r="135" spans="1:10" x14ac:dyDescent="0.35">
      <c r="A135" s="36">
        <v>2027</v>
      </c>
      <c r="B135" s="35" t="s">
        <v>11</v>
      </c>
      <c r="C135" s="35" t="s">
        <v>142</v>
      </c>
      <c r="D135" s="4" t="s">
        <v>143</v>
      </c>
      <c r="I135" s="10">
        <v>0</v>
      </c>
      <c r="J135" s="10">
        <v>0</v>
      </c>
    </row>
    <row r="136" spans="1:10" x14ac:dyDescent="0.35">
      <c r="A136" s="36">
        <v>2027</v>
      </c>
      <c r="B136" s="35" t="s">
        <v>11</v>
      </c>
      <c r="C136" s="35" t="s">
        <v>142</v>
      </c>
      <c r="D136" s="4" t="s">
        <v>144</v>
      </c>
      <c r="I136" s="10">
        <v>9571.26</v>
      </c>
      <c r="J136" s="10">
        <v>-9571.26</v>
      </c>
    </row>
    <row r="137" spans="1:10" x14ac:dyDescent="0.35">
      <c r="A137" s="36">
        <v>2027</v>
      </c>
      <c r="B137" s="35" t="s">
        <v>11</v>
      </c>
      <c r="C137" s="35" t="s">
        <v>142</v>
      </c>
      <c r="D137" s="4" t="s">
        <v>145</v>
      </c>
      <c r="I137" s="10">
        <v>188517.12</v>
      </c>
      <c r="J137" s="10">
        <v>-188517.12</v>
      </c>
    </row>
    <row r="138" spans="1:10" x14ac:dyDescent="0.35">
      <c r="A138" s="36">
        <v>2027</v>
      </c>
      <c r="B138" s="35" t="s">
        <v>11</v>
      </c>
      <c r="C138" s="35" t="s">
        <v>146</v>
      </c>
      <c r="D138" s="5" t="s">
        <v>10</v>
      </c>
      <c r="E138" s="9"/>
      <c r="F138" s="9"/>
      <c r="G138" s="9"/>
      <c r="H138" s="9"/>
      <c r="I138" s="9">
        <v>0</v>
      </c>
      <c r="J138" s="9">
        <v>0</v>
      </c>
    </row>
    <row r="139" spans="1:10" x14ac:dyDescent="0.35">
      <c r="A139" s="36">
        <v>2027</v>
      </c>
      <c r="B139" s="35" t="s">
        <v>11</v>
      </c>
      <c r="C139" s="35" t="s">
        <v>146</v>
      </c>
      <c r="D139" s="4" t="s">
        <v>147</v>
      </c>
      <c r="I139" s="10">
        <v>0</v>
      </c>
      <c r="J139" s="10">
        <v>0</v>
      </c>
    </row>
    <row r="140" spans="1:10" x14ac:dyDescent="0.35">
      <c r="A140" s="36">
        <v>2027</v>
      </c>
      <c r="B140" s="35" t="s">
        <v>11</v>
      </c>
      <c r="C140" s="35" t="s">
        <v>146</v>
      </c>
      <c r="D140" s="4" t="s">
        <v>148</v>
      </c>
      <c r="I140" s="10">
        <v>0</v>
      </c>
      <c r="J140" s="10">
        <v>0</v>
      </c>
    </row>
    <row r="141" spans="1:10" x14ac:dyDescent="0.35">
      <c r="A141" s="36">
        <v>2027</v>
      </c>
      <c r="B141" s="35" t="s">
        <v>11</v>
      </c>
      <c r="C141" s="35" t="s">
        <v>149</v>
      </c>
      <c r="D141" s="5" t="s">
        <v>10</v>
      </c>
      <c r="E141" s="9"/>
      <c r="F141" s="9"/>
      <c r="G141" s="9"/>
      <c r="H141" s="9"/>
      <c r="I141" s="9">
        <v>0</v>
      </c>
      <c r="J141" s="9">
        <v>0</v>
      </c>
    </row>
    <row r="142" spans="1:10" x14ac:dyDescent="0.35">
      <c r="A142" s="36">
        <v>2027</v>
      </c>
      <c r="B142" s="35" t="s">
        <v>11</v>
      </c>
      <c r="C142" s="35" t="s">
        <v>149</v>
      </c>
      <c r="D142" s="4" t="s">
        <v>150</v>
      </c>
      <c r="I142" s="10">
        <v>0</v>
      </c>
      <c r="J142" s="10">
        <v>0</v>
      </c>
    </row>
    <row r="143" spans="1:10" x14ac:dyDescent="0.35">
      <c r="A143" s="36">
        <v>2027</v>
      </c>
      <c r="B143" s="35" t="s">
        <v>151</v>
      </c>
      <c r="C143" s="37" t="s">
        <v>10</v>
      </c>
      <c r="D143" s="39"/>
      <c r="E143" s="9">
        <v>9850400.7300000004</v>
      </c>
      <c r="F143" s="9"/>
      <c r="G143" s="9"/>
      <c r="H143" s="9">
        <v>9850400.7300000004</v>
      </c>
      <c r="I143" s="9">
        <v>5815690.169999999</v>
      </c>
      <c r="J143" s="9">
        <v>4034710.5600000015</v>
      </c>
    </row>
    <row r="144" spans="1:10" x14ac:dyDescent="0.35">
      <c r="A144" s="36">
        <v>2027</v>
      </c>
      <c r="B144" s="35" t="s">
        <v>151</v>
      </c>
      <c r="C144" s="35" t="s">
        <v>152</v>
      </c>
      <c r="D144" s="5" t="s">
        <v>10</v>
      </c>
      <c r="E144" s="9">
        <v>5210113.7300000004</v>
      </c>
      <c r="F144" s="9"/>
      <c r="G144" s="9"/>
      <c r="H144" s="9">
        <v>5210113.7300000004</v>
      </c>
      <c r="I144" s="9">
        <v>2415693.33</v>
      </c>
      <c r="J144" s="9">
        <v>2794420.4000000004</v>
      </c>
    </row>
    <row r="145" spans="1:10" x14ac:dyDescent="0.35">
      <c r="A145" s="36">
        <v>2027</v>
      </c>
      <c r="B145" s="35" t="s">
        <v>151</v>
      </c>
      <c r="C145" s="35" t="s">
        <v>152</v>
      </c>
      <c r="D145" s="4" t="s">
        <v>153</v>
      </c>
      <c r="E145" s="10">
        <v>1751872.73</v>
      </c>
      <c r="H145" s="10">
        <v>1751872.73</v>
      </c>
      <c r="I145" s="10">
        <v>333256.19</v>
      </c>
      <c r="J145" s="10">
        <v>1418616.54</v>
      </c>
    </row>
    <row r="146" spans="1:10" x14ac:dyDescent="0.35">
      <c r="A146" s="36">
        <v>2027</v>
      </c>
      <c r="B146" s="35" t="s">
        <v>151</v>
      </c>
      <c r="C146" s="35" t="s">
        <v>152</v>
      </c>
      <c r="D146" s="4" t="s">
        <v>154</v>
      </c>
      <c r="E146" s="10">
        <v>1392000</v>
      </c>
      <c r="H146" s="10">
        <v>1392000</v>
      </c>
      <c r="I146" s="10">
        <v>134748.20000000001</v>
      </c>
      <c r="J146" s="10">
        <v>1257251.8</v>
      </c>
    </row>
    <row r="147" spans="1:10" x14ac:dyDescent="0.35">
      <c r="A147" s="36">
        <v>2027</v>
      </c>
      <c r="B147" s="35" t="s">
        <v>151</v>
      </c>
      <c r="C147" s="35" t="s">
        <v>152</v>
      </c>
      <c r="D147" s="4" t="s">
        <v>155</v>
      </c>
      <c r="E147" s="10">
        <v>982114</v>
      </c>
      <c r="H147" s="10">
        <v>982114</v>
      </c>
      <c r="I147" s="10">
        <v>212087.26</v>
      </c>
      <c r="J147" s="10">
        <v>770026.74</v>
      </c>
    </row>
    <row r="148" spans="1:10" x14ac:dyDescent="0.35">
      <c r="A148" s="36">
        <v>2027</v>
      </c>
      <c r="B148" s="35" t="s">
        <v>151</v>
      </c>
      <c r="C148" s="35" t="s">
        <v>152</v>
      </c>
      <c r="D148" s="4" t="s">
        <v>156</v>
      </c>
      <c r="E148" s="10">
        <v>814031</v>
      </c>
      <c r="H148" s="10">
        <v>814031</v>
      </c>
      <c r="I148" s="10">
        <v>1737.95</v>
      </c>
      <c r="J148" s="10">
        <v>812293.05</v>
      </c>
    </row>
    <row r="149" spans="1:10" x14ac:dyDescent="0.35">
      <c r="A149" s="36">
        <v>2027</v>
      </c>
      <c r="B149" s="35" t="s">
        <v>151</v>
      </c>
      <c r="C149" s="35" t="s">
        <v>152</v>
      </c>
      <c r="D149" s="4" t="s">
        <v>157</v>
      </c>
      <c r="E149" s="10">
        <v>270096</v>
      </c>
      <c r="H149" s="10">
        <v>270096</v>
      </c>
      <c r="J149" s="10">
        <v>270096</v>
      </c>
    </row>
    <row r="150" spans="1:10" x14ac:dyDescent="0.35">
      <c r="A150" s="36">
        <v>2027</v>
      </c>
      <c r="B150" s="35" t="s">
        <v>151</v>
      </c>
      <c r="C150" s="35" t="s">
        <v>152</v>
      </c>
      <c r="D150" s="4" t="s">
        <v>158</v>
      </c>
      <c r="E150" s="10">
        <v>0</v>
      </c>
      <c r="H150" s="10">
        <v>0</v>
      </c>
      <c r="I150" s="10">
        <v>6231.4400000000005</v>
      </c>
      <c r="J150" s="10">
        <v>-6231.4400000000005</v>
      </c>
    </row>
    <row r="151" spans="1:10" x14ac:dyDescent="0.35">
      <c r="A151" s="36">
        <v>2027</v>
      </c>
      <c r="B151" s="35" t="s">
        <v>151</v>
      </c>
      <c r="C151" s="35" t="s">
        <v>152</v>
      </c>
      <c r="D151" s="4" t="s">
        <v>159</v>
      </c>
      <c r="E151" s="10">
        <v>0</v>
      </c>
      <c r="H151" s="10">
        <v>0</v>
      </c>
      <c r="I151" s="10">
        <v>147786.50999999998</v>
      </c>
      <c r="J151" s="10">
        <v>-147786.50999999998</v>
      </c>
    </row>
    <row r="152" spans="1:10" x14ac:dyDescent="0.35">
      <c r="A152" s="36">
        <v>2027</v>
      </c>
      <c r="B152" s="35" t="s">
        <v>151</v>
      </c>
      <c r="C152" s="35" t="s">
        <v>152</v>
      </c>
      <c r="D152" s="4" t="s">
        <v>160</v>
      </c>
      <c r="E152" s="10">
        <v>0</v>
      </c>
      <c r="H152" s="10">
        <v>0</v>
      </c>
      <c r="I152" s="10">
        <v>6467.21</v>
      </c>
      <c r="J152" s="10">
        <v>-6467.21</v>
      </c>
    </row>
    <row r="153" spans="1:10" x14ac:dyDescent="0.35">
      <c r="A153" s="36">
        <v>2027</v>
      </c>
      <c r="B153" s="35" t="s">
        <v>151</v>
      </c>
      <c r="C153" s="35" t="s">
        <v>152</v>
      </c>
      <c r="D153" s="4" t="s">
        <v>161</v>
      </c>
      <c r="E153" s="10">
        <v>0</v>
      </c>
      <c r="H153" s="10">
        <v>0</v>
      </c>
      <c r="I153" s="10">
        <v>46257.919999999998</v>
      </c>
      <c r="J153" s="10">
        <v>-46257.919999999998</v>
      </c>
    </row>
    <row r="154" spans="1:10" x14ac:dyDescent="0.35">
      <c r="A154" s="36">
        <v>2027</v>
      </c>
      <c r="B154" s="35" t="s">
        <v>151</v>
      </c>
      <c r="C154" s="35" t="s">
        <v>152</v>
      </c>
      <c r="D154" s="4" t="s">
        <v>162</v>
      </c>
      <c r="E154" s="10">
        <v>0</v>
      </c>
      <c r="H154" s="10">
        <v>0</v>
      </c>
      <c r="I154" s="10">
        <v>1454583.24</v>
      </c>
      <c r="J154" s="10">
        <v>-1454583.24</v>
      </c>
    </row>
    <row r="155" spans="1:10" x14ac:dyDescent="0.35">
      <c r="A155" s="36">
        <v>2027</v>
      </c>
      <c r="B155" s="35" t="s">
        <v>151</v>
      </c>
      <c r="C155" s="35" t="s">
        <v>152</v>
      </c>
      <c r="D155" s="4" t="s">
        <v>163</v>
      </c>
      <c r="E155" s="10">
        <v>0</v>
      </c>
      <c r="H155" s="10">
        <v>0</v>
      </c>
      <c r="I155" s="10">
        <v>20209.79</v>
      </c>
      <c r="J155" s="10">
        <v>-20209.79</v>
      </c>
    </row>
    <row r="156" spans="1:10" x14ac:dyDescent="0.35">
      <c r="A156" s="36">
        <v>2027</v>
      </c>
      <c r="B156" s="35" t="s">
        <v>151</v>
      </c>
      <c r="C156" s="35" t="s">
        <v>152</v>
      </c>
      <c r="D156" s="4" t="s">
        <v>164</v>
      </c>
      <c r="E156" s="10">
        <v>0</v>
      </c>
      <c r="H156" s="10">
        <v>0</v>
      </c>
      <c r="I156" s="10">
        <v>8710.06</v>
      </c>
      <c r="J156" s="10">
        <v>-8710.06</v>
      </c>
    </row>
    <row r="157" spans="1:10" x14ac:dyDescent="0.35">
      <c r="A157" s="36">
        <v>2027</v>
      </c>
      <c r="B157" s="35" t="s">
        <v>151</v>
      </c>
      <c r="C157" s="35" t="s">
        <v>152</v>
      </c>
      <c r="D157" s="4" t="s">
        <v>165</v>
      </c>
      <c r="E157" s="10">
        <v>0</v>
      </c>
      <c r="H157" s="10">
        <v>0</v>
      </c>
      <c r="I157" s="10">
        <v>20783.52</v>
      </c>
      <c r="J157" s="10">
        <v>-20783.52</v>
      </c>
    </row>
    <row r="158" spans="1:10" x14ac:dyDescent="0.35">
      <c r="A158" s="36">
        <v>2027</v>
      </c>
      <c r="B158" s="35" t="s">
        <v>151</v>
      </c>
      <c r="C158" s="35" t="s">
        <v>152</v>
      </c>
      <c r="D158" s="4" t="s">
        <v>166</v>
      </c>
      <c r="E158" s="10">
        <v>0</v>
      </c>
      <c r="H158" s="10">
        <v>0</v>
      </c>
      <c r="I158" s="10">
        <v>22834.04</v>
      </c>
      <c r="J158" s="10">
        <v>-22834.04</v>
      </c>
    </row>
    <row r="159" spans="1:10" x14ac:dyDescent="0.35">
      <c r="A159" s="36">
        <v>2027</v>
      </c>
      <c r="B159" s="35" t="s">
        <v>151</v>
      </c>
      <c r="C159" s="35" t="s">
        <v>167</v>
      </c>
      <c r="D159" s="5" t="s">
        <v>10</v>
      </c>
      <c r="E159" s="9">
        <v>3229287</v>
      </c>
      <c r="F159" s="9"/>
      <c r="G159" s="9"/>
      <c r="H159" s="9">
        <v>3229287</v>
      </c>
      <c r="I159" s="9">
        <v>2230776.36</v>
      </c>
      <c r="J159" s="9">
        <v>998510.64000000013</v>
      </c>
    </row>
    <row r="160" spans="1:10" x14ac:dyDescent="0.35">
      <c r="A160" s="36">
        <v>2027</v>
      </c>
      <c r="B160" s="35" t="s">
        <v>151</v>
      </c>
      <c r="C160" s="35" t="s">
        <v>167</v>
      </c>
      <c r="D160" s="4" t="s">
        <v>168</v>
      </c>
      <c r="E160" s="10">
        <v>1076000</v>
      </c>
      <c r="H160" s="10">
        <v>1076000</v>
      </c>
      <c r="I160" s="10">
        <v>354463</v>
      </c>
      <c r="J160" s="10">
        <v>721537</v>
      </c>
    </row>
    <row r="161" spans="1:10" x14ac:dyDescent="0.35">
      <c r="A161" s="36">
        <v>2027</v>
      </c>
      <c r="B161" s="35" t="s">
        <v>151</v>
      </c>
      <c r="C161" s="35" t="s">
        <v>167</v>
      </c>
      <c r="D161" s="4" t="s">
        <v>169</v>
      </c>
      <c r="E161" s="10">
        <v>1000000</v>
      </c>
      <c r="H161" s="10">
        <v>1000000</v>
      </c>
      <c r="I161" s="10">
        <v>1116063.8200000003</v>
      </c>
      <c r="J161" s="10">
        <v>-116063.8200000003</v>
      </c>
    </row>
    <row r="162" spans="1:10" x14ac:dyDescent="0.35">
      <c r="A162" s="36">
        <v>2027</v>
      </c>
      <c r="B162" s="35" t="s">
        <v>151</v>
      </c>
      <c r="C162" s="35" t="s">
        <v>167</v>
      </c>
      <c r="D162" s="4" t="s">
        <v>170</v>
      </c>
      <c r="E162" s="10">
        <v>953287</v>
      </c>
      <c r="H162" s="10">
        <v>953287</v>
      </c>
      <c r="I162" s="10">
        <v>310183.36</v>
      </c>
      <c r="J162" s="10">
        <v>643103.64</v>
      </c>
    </row>
    <row r="163" spans="1:10" x14ac:dyDescent="0.35">
      <c r="A163" s="36">
        <v>2027</v>
      </c>
      <c r="B163" s="35" t="s">
        <v>151</v>
      </c>
      <c r="C163" s="35" t="s">
        <v>167</v>
      </c>
      <c r="D163" s="4" t="s">
        <v>171</v>
      </c>
      <c r="E163" s="10">
        <v>200000</v>
      </c>
      <c r="H163" s="10">
        <v>200000</v>
      </c>
      <c r="J163" s="10">
        <v>200000</v>
      </c>
    </row>
    <row r="164" spans="1:10" x14ac:dyDescent="0.35">
      <c r="A164" s="36">
        <v>2027</v>
      </c>
      <c r="B164" s="35" t="s">
        <v>151</v>
      </c>
      <c r="C164" s="35" t="s">
        <v>167</v>
      </c>
      <c r="D164" s="4" t="s">
        <v>172</v>
      </c>
      <c r="E164" s="10">
        <v>0</v>
      </c>
      <c r="H164" s="10">
        <v>0</v>
      </c>
      <c r="I164" s="10">
        <v>10707.420000000002</v>
      </c>
      <c r="J164" s="10">
        <v>-10707.420000000002</v>
      </c>
    </row>
    <row r="165" spans="1:10" x14ac:dyDescent="0.35">
      <c r="A165" s="36">
        <v>2027</v>
      </c>
      <c r="B165" s="35" t="s">
        <v>151</v>
      </c>
      <c r="C165" s="35" t="s">
        <v>167</v>
      </c>
      <c r="D165" s="4" t="s">
        <v>173</v>
      </c>
      <c r="E165" s="10">
        <v>0</v>
      </c>
      <c r="H165" s="10">
        <v>0</v>
      </c>
      <c r="I165" s="10">
        <v>71311.259999999995</v>
      </c>
      <c r="J165" s="10">
        <v>-71311.259999999995</v>
      </c>
    </row>
    <row r="166" spans="1:10" x14ac:dyDescent="0.35">
      <c r="A166" s="36">
        <v>2027</v>
      </c>
      <c r="B166" s="35" t="s">
        <v>151</v>
      </c>
      <c r="C166" s="35" t="s">
        <v>167</v>
      </c>
      <c r="D166" s="4" t="s">
        <v>174</v>
      </c>
      <c r="E166" s="10">
        <v>0</v>
      </c>
      <c r="H166" s="10">
        <v>0</v>
      </c>
      <c r="I166" s="10">
        <v>119370.75</v>
      </c>
      <c r="J166" s="10">
        <v>-119370.75</v>
      </c>
    </row>
    <row r="167" spans="1:10" x14ac:dyDescent="0.35">
      <c r="A167" s="36">
        <v>2027</v>
      </c>
      <c r="B167" s="35" t="s">
        <v>151</v>
      </c>
      <c r="C167" s="35" t="s">
        <v>167</v>
      </c>
      <c r="D167" s="4" t="s">
        <v>175</v>
      </c>
      <c r="E167" s="10">
        <v>0</v>
      </c>
      <c r="H167" s="10">
        <v>0</v>
      </c>
      <c r="I167" s="10">
        <v>0.82000000000000006</v>
      </c>
      <c r="J167" s="10">
        <v>-0.82000000000000006</v>
      </c>
    </row>
    <row r="168" spans="1:10" x14ac:dyDescent="0.35">
      <c r="A168" s="36">
        <v>2027</v>
      </c>
      <c r="B168" s="35" t="s">
        <v>151</v>
      </c>
      <c r="C168" s="35" t="s">
        <v>167</v>
      </c>
      <c r="D168" s="4" t="s">
        <v>176</v>
      </c>
      <c r="E168" s="10">
        <v>0</v>
      </c>
      <c r="H168" s="10">
        <v>0</v>
      </c>
      <c r="I168" s="10">
        <v>8.56</v>
      </c>
      <c r="J168" s="10">
        <v>-8.56</v>
      </c>
    </row>
    <row r="169" spans="1:10" x14ac:dyDescent="0.35">
      <c r="A169" s="36">
        <v>2027</v>
      </c>
      <c r="B169" s="35" t="s">
        <v>151</v>
      </c>
      <c r="C169" s="35" t="s">
        <v>167</v>
      </c>
      <c r="D169" s="4" t="s">
        <v>177</v>
      </c>
      <c r="E169" s="10">
        <v>0</v>
      </c>
      <c r="H169" s="10">
        <v>0</v>
      </c>
      <c r="I169" s="10">
        <v>26154.07</v>
      </c>
      <c r="J169" s="10">
        <v>-26154.07</v>
      </c>
    </row>
    <row r="170" spans="1:10" x14ac:dyDescent="0.35">
      <c r="A170" s="36">
        <v>2027</v>
      </c>
      <c r="B170" s="35" t="s">
        <v>151</v>
      </c>
      <c r="C170" s="35" t="s">
        <v>167</v>
      </c>
      <c r="D170" s="4" t="s">
        <v>178</v>
      </c>
      <c r="E170" s="10">
        <v>0</v>
      </c>
      <c r="H170" s="10">
        <v>0</v>
      </c>
      <c r="I170" s="10">
        <v>0.17</v>
      </c>
      <c r="J170" s="10">
        <v>-0.17</v>
      </c>
    </row>
    <row r="171" spans="1:10" x14ac:dyDescent="0.35">
      <c r="A171" s="36">
        <v>2027</v>
      </c>
      <c r="B171" s="35" t="s">
        <v>151</v>
      </c>
      <c r="C171" s="35" t="s">
        <v>167</v>
      </c>
      <c r="D171" s="4" t="s">
        <v>179</v>
      </c>
      <c r="E171" s="10">
        <v>0</v>
      </c>
      <c r="H171" s="10">
        <v>0</v>
      </c>
      <c r="I171" s="10">
        <v>87076.469999999972</v>
      </c>
      <c r="J171" s="10">
        <v>-87076.469999999972</v>
      </c>
    </row>
    <row r="172" spans="1:10" x14ac:dyDescent="0.35">
      <c r="A172" s="36">
        <v>2027</v>
      </c>
      <c r="B172" s="35" t="s">
        <v>151</v>
      </c>
      <c r="C172" s="35" t="s">
        <v>167</v>
      </c>
      <c r="D172" s="4" t="s">
        <v>180</v>
      </c>
      <c r="E172" s="10">
        <v>0</v>
      </c>
      <c r="H172" s="10">
        <v>0</v>
      </c>
      <c r="I172" s="10">
        <v>0.14000000000000001</v>
      </c>
      <c r="J172" s="10">
        <v>-0.14000000000000001</v>
      </c>
    </row>
    <row r="173" spans="1:10" x14ac:dyDescent="0.35">
      <c r="A173" s="36">
        <v>2027</v>
      </c>
      <c r="B173" s="35" t="s">
        <v>151</v>
      </c>
      <c r="C173" s="35" t="s">
        <v>167</v>
      </c>
      <c r="D173" s="4" t="s">
        <v>181</v>
      </c>
      <c r="E173" s="10">
        <v>0</v>
      </c>
      <c r="H173" s="10">
        <v>0</v>
      </c>
      <c r="I173" s="10">
        <v>21439.940000000002</v>
      </c>
      <c r="J173" s="10">
        <v>-21439.940000000002</v>
      </c>
    </row>
    <row r="174" spans="1:10" x14ac:dyDescent="0.35">
      <c r="A174" s="36">
        <v>2027</v>
      </c>
      <c r="B174" s="35" t="s">
        <v>151</v>
      </c>
      <c r="C174" s="35" t="s">
        <v>167</v>
      </c>
      <c r="D174" s="4" t="s">
        <v>182</v>
      </c>
      <c r="E174" s="10">
        <v>0</v>
      </c>
      <c r="H174" s="10">
        <v>0</v>
      </c>
      <c r="I174" s="10">
        <v>37015.240000000005</v>
      </c>
      <c r="J174" s="10">
        <v>-37015.240000000005</v>
      </c>
    </row>
    <row r="175" spans="1:10" x14ac:dyDescent="0.35">
      <c r="A175" s="36">
        <v>2027</v>
      </c>
      <c r="B175" s="35" t="s">
        <v>151</v>
      </c>
      <c r="C175" s="35" t="s">
        <v>167</v>
      </c>
      <c r="D175" s="4" t="s">
        <v>183</v>
      </c>
      <c r="E175" s="10">
        <v>0</v>
      </c>
      <c r="H175" s="10">
        <v>0</v>
      </c>
      <c r="I175" s="10">
        <v>8373.49</v>
      </c>
      <c r="J175" s="10">
        <v>-8373.49</v>
      </c>
    </row>
    <row r="176" spans="1:10" x14ac:dyDescent="0.35">
      <c r="A176" s="36">
        <v>2027</v>
      </c>
      <c r="B176" s="35" t="s">
        <v>151</v>
      </c>
      <c r="C176" s="35" t="s">
        <v>167</v>
      </c>
      <c r="D176" s="4" t="s">
        <v>184</v>
      </c>
      <c r="E176" s="10">
        <v>0</v>
      </c>
      <c r="H176" s="10">
        <v>0</v>
      </c>
      <c r="I176" s="10">
        <v>68607.849999999991</v>
      </c>
      <c r="J176" s="10">
        <v>-68607.849999999991</v>
      </c>
    </row>
    <row r="177" spans="1:10" x14ac:dyDescent="0.35">
      <c r="A177" s="36">
        <v>2027</v>
      </c>
      <c r="B177" s="35" t="s">
        <v>151</v>
      </c>
      <c r="C177" s="35" t="s">
        <v>167</v>
      </c>
      <c r="D177" s="4" t="s">
        <v>185</v>
      </c>
      <c r="E177" s="10">
        <v>0</v>
      </c>
      <c r="H177" s="10">
        <v>0</v>
      </c>
      <c r="J177" s="10">
        <v>0</v>
      </c>
    </row>
    <row r="178" spans="1:10" x14ac:dyDescent="0.35">
      <c r="A178" s="36">
        <v>2027</v>
      </c>
      <c r="B178" s="35" t="s">
        <v>151</v>
      </c>
      <c r="C178" s="35" t="s">
        <v>186</v>
      </c>
      <c r="D178" s="5" t="s">
        <v>10</v>
      </c>
      <c r="E178" s="9">
        <v>1411000</v>
      </c>
      <c r="F178" s="9"/>
      <c r="G178" s="9"/>
      <c r="H178" s="9">
        <v>1411000</v>
      </c>
      <c r="I178" s="9">
        <v>639301.32999999996</v>
      </c>
      <c r="J178" s="9">
        <v>771698.67</v>
      </c>
    </row>
    <row r="179" spans="1:10" x14ac:dyDescent="0.35">
      <c r="A179" s="36">
        <v>2027</v>
      </c>
      <c r="B179" s="35" t="s">
        <v>151</v>
      </c>
      <c r="C179" s="35" t="s">
        <v>186</v>
      </c>
      <c r="D179" s="4" t="s">
        <v>187</v>
      </c>
      <c r="E179" s="10">
        <v>1377500</v>
      </c>
      <c r="H179" s="10">
        <v>1377500</v>
      </c>
      <c r="I179" s="10">
        <v>44676.21</v>
      </c>
      <c r="J179" s="10">
        <v>1332823.79</v>
      </c>
    </row>
    <row r="180" spans="1:10" x14ac:dyDescent="0.35">
      <c r="A180" s="36">
        <v>2027</v>
      </c>
      <c r="B180" s="35" t="s">
        <v>151</v>
      </c>
      <c r="C180" s="35" t="s">
        <v>186</v>
      </c>
      <c r="D180" s="4" t="s">
        <v>188</v>
      </c>
      <c r="E180" s="10">
        <v>33500</v>
      </c>
      <c r="H180" s="10">
        <v>33500</v>
      </c>
      <c r="J180" s="10">
        <v>33500</v>
      </c>
    </row>
    <row r="181" spans="1:10" x14ac:dyDescent="0.35">
      <c r="A181" s="36">
        <v>2027</v>
      </c>
      <c r="B181" s="35" t="s">
        <v>151</v>
      </c>
      <c r="C181" s="35" t="s">
        <v>186</v>
      </c>
      <c r="D181" s="4" t="s">
        <v>189</v>
      </c>
      <c r="E181" s="10">
        <v>0</v>
      </c>
      <c r="H181" s="10">
        <v>0</v>
      </c>
      <c r="I181" s="10">
        <v>2276.92</v>
      </c>
      <c r="J181" s="10">
        <v>-2276.92</v>
      </c>
    </row>
    <row r="182" spans="1:10" x14ac:dyDescent="0.35">
      <c r="A182" s="36">
        <v>2027</v>
      </c>
      <c r="B182" s="35" t="s">
        <v>151</v>
      </c>
      <c r="C182" s="35" t="s">
        <v>186</v>
      </c>
      <c r="D182" s="4" t="s">
        <v>190</v>
      </c>
      <c r="E182" s="10">
        <v>0</v>
      </c>
      <c r="H182" s="10">
        <v>0</v>
      </c>
      <c r="I182" s="10">
        <v>7355.93</v>
      </c>
      <c r="J182" s="10">
        <v>-7355.93</v>
      </c>
    </row>
    <row r="183" spans="1:10" x14ac:dyDescent="0.35">
      <c r="A183" s="36">
        <v>2027</v>
      </c>
      <c r="B183" s="35" t="s">
        <v>151</v>
      </c>
      <c r="C183" s="35" t="s">
        <v>186</v>
      </c>
      <c r="D183" s="4" t="s">
        <v>191</v>
      </c>
      <c r="E183" s="10">
        <v>0</v>
      </c>
      <c r="H183" s="10">
        <v>0</v>
      </c>
      <c r="I183" s="10">
        <v>5849.55</v>
      </c>
      <c r="J183" s="10">
        <v>-5849.55</v>
      </c>
    </row>
    <row r="184" spans="1:10" x14ac:dyDescent="0.35">
      <c r="A184" s="36">
        <v>2027</v>
      </c>
      <c r="B184" s="35" t="s">
        <v>151</v>
      </c>
      <c r="C184" s="35" t="s">
        <v>186</v>
      </c>
      <c r="D184" s="4" t="s">
        <v>192</v>
      </c>
      <c r="E184" s="10">
        <v>0</v>
      </c>
      <c r="H184" s="10">
        <v>0</v>
      </c>
      <c r="I184" s="10">
        <v>56493.770000000004</v>
      </c>
      <c r="J184" s="10">
        <v>-56493.770000000004</v>
      </c>
    </row>
    <row r="185" spans="1:10" x14ac:dyDescent="0.35">
      <c r="A185" s="36">
        <v>2027</v>
      </c>
      <c r="B185" s="35" t="s">
        <v>151</v>
      </c>
      <c r="C185" s="35" t="s">
        <v>186</v>
      </c>
      <c r="D185" s="4" t="s">
        <v>193</v>
      </c>
      <c r="E185" s="10">
        <v>0</v>
      </c>
      <c r="H185" s="10">
        <v>0</v>
      </c>
      <c r="I185" s="10">
        <v>148149.65</v>
      </c>
      <c r="J185" s="10">
        <v>-148149.65</v>
      </c>
    </row>
    <row r="186" spans="1:10" x14ac:dyDescent="0.35">
      <c r="A186" s="36">
        <v>2027</v>
      </c>
      <c r="B186" s="35" t="s">
        <v>151</v>
      </c>
      <c r="C186" s="35" t="s">
        <v>186</v>
      </c>
      <c r="D186" s="4" t="s">
        <v>194</v>
      </c>
      <c r="E186" s="10">
        <v>0</v>
      </c>
      <c r="H186" s="10">
        <v>0</v>
      </c>
      <c r="I186" s="10">
        <v>65011.97</v>
      </c>
      <c r="J186" s="10">
        <v>-65011.97</v>
      </c>
    </row>
    <row r="187" spans="1:10" x14ac:dyDescent="0.35">
      <c r="A187" s="36">
        <v>2027</v>
      </c>
      <c r="B187" s="35" t="s">
        <v>151</v>
      </c>
      <c r="C187" s="35" t="s">
        <v>186</v>
      </c>
      <c r="D187" s="4" t="s">
        <v>195</v>
      </c>
      <c r="E187" s="10">
        <v>0</v>
      </c>
      <c r="H187" s="10">
        <v>0</v>
      </c>
      <c r="I187" s="10">
        <v>235922.80000000002</v>
      </c>
      <c r="J187" s="10">
        <v>-235922.80000000002</v>
      </c>
    </row>
    <row r="188" spans="1:10" x14ac:dyDescent="0.35">
      <c r="A188" s="36">
        <v>2027</v>
      </c>
      <c r="B188" s="35" t="s">
        <v>151</v>
      </c>
      <c r="C188" s="35" t="s">
        <v>186</v>
      </c>
      <c r="D188" s="4" t="s">
        <v>196</v>
      </c>
      <c r="E188" s="10">
        <v>0</v>
      </c>
      <c r="H188" s="10">
        <v>0</v>
      </c>
      <c r="I188" s="10">
        <v>5433.0999999999995</v>
      </c>
      <c r="J188" s="10">
        <v>-5433.0999999999995</v>
      </c>
    </row>
    <row r="189" spans="1:10" x14ac:dyDescent="0.35">
      <c r="A189" s="36">
        <v>2027</v>
      </c>
      <c r="B189" s="35" t="s">
        <v>151</v>
      </c>
      <c r="C189" s="35" t="s">
        <v>186</v>
      </c>
      <c r="D189" s="4" t="s">
        <v>197</v>
      </c>
      <c r="E189" s="10">
        <v>0</v>
      </c>
      <c r="H189" s="10">
        <v>0</v>
      </c>
      <c r="J189" s="10">
        <v>0</v>
      </c>
    </row>
    <row r="190" spans="1:10" x14ac:dyDescent="0.35">
      <c r="A190" s="36">
        <v>2027</v>
      </c>
      <c r="B190" s="35" t="s">
        <v>151</v>
      </c>
      <c r="C190" s="35" t="s">
        <v>186</v>
      </c>
      <c r="D190" s="4" t="s">
        <v>198</v>
      </c>
      <c r="E190" s="10">
        <v>0</v>
      </c>
      <c r="H190" s="10">
        <v>0</v>
      </c>
      <c r="I190" s="10">
        <v>12120.66</v>
      </c>
      <c r="J190" s="10">
        <v>-12120.66</v>
      </c>
    </row>
    <row r="191" spans="1:10" x14ac:dyDescent="0.35">
      <c r="A191" s="36">
        <v>2027</v>
      </c>
      <c r="B191" s="35" t="s">
        <v>151</v>
      </c>
      <c r="C191" s="35" t="s">
        <v>186</v>
      </c>
      <c r="D191" s="4" t="s">
        <v>199</v>
      </c>
      <c r="E191" s="10">
        <v>0</v>
      </c>
      <c r="H191" s="10">
        <v>0</v>
      </c>
      <c r="I191" s="10">
        <v>56010.770000000004</v>
      </c>
      <c r="J191" s="10">
        <v>-56010.770000000004</v>
      </c>
    </row>
    <row r="192" spans="1:10" x14ac:dyDescent="0.35">
      <c r="A192" s="36">
        <v>2027</v>
      </c>
      <c r="B192" s="35" t="s">
        <v>151</v>
      </c>
      <c r="C192" s="35" t="s">
        <v>142</v>
      </c>
      <c r="D192" s="5" t="s">
        <v>10</v>
      </c>
      <c r="E192" s="9">
        <v>0</v>
      </c>
      <c r="F192" s="9"/>
      <c r="G192" s="9"/>
      <c r="H192" s="9">
        <v>0</v>
      </c>
      <c r="I192" s="9">
        <v>23576.370000000003</v>
      </c>
      <c r="J192" s="9">
        <v>-23576.370000000003</v>
      </c>
    </row>
    <row r="193" spans="1:10" x14ac:dyDescent="0.35">
      <c r="A193" s="36">
        <v>2027</v>
      </c>
      <c r="B193" s="35" t="s">
        <v>151</v>
      </c>
      <c r="C193" s="35" t="s">
        <v>142</v>
      </c>
      <c r="D193" s="4" t="s">
        <v>200</v>
      </c>
      <c r="E193" s="10">
        <v>0</v>
      </c>
      <c r="H193" s="10">
        <v>0</v>
      </c>
      <c r="I193" s="10">
        <v>4263.84</v>
      </c>
      <c r="J193" s="10">
        <v>-4263.84</v>
      </c>
    </row>
    <row r="194" spans="1:10" x14ac:dyDescent="0.35">
      <c r="A194" s="36">
        <v>2027</v>
      </c>
      <c r="B194" s="35" t="s">
        <v>151</v>
      </c>
      <c r="C194" s="35" t="s">
        <v>142</v>
      </c>
      <c r="D194" s="4" t="s">
        <v>201</v>
      </c>
      <c r="E194" s="10">
        <v>0</v>
      </c>
      <c r="H194" s="10">
        <v>0</v>
      </c>
      <c r="I194" s="10">
        <v>15913.330000000002</v>
      </c>
      <c r="J194" s="10">
        <v>-15913.330000000002</v>
      </c>
    </row>
    <row r="195" spans="1:10" x14ac:dyDescent="0.35">
      <c r="A195" s="36">
        <v>2027</v>
      </c>
      <c r="B195" s="35" t="s">
        <v>151</v>
      </c>
      <c r="C195" s="35" t="s">
        <v>142</v>
      </c>
      <c r="D195" s="4" t="s">
        <v>202</v>
      </c>
      <c r="E195" s="10">
        <v>0</v>
      </c>
      <c r="H195" s="10">
        <v>0</v>
      </c>
      <c r="I195" s="10">
        <v>3399.2</v>
      </c>
      <c r="J195" s="10">
        <v>-3399.2</v>
      </c>
    </row>
    <row r="196" spans="1:10" x14ac:dyDescent="0.35">
      <c r="A196" s="36">
        <v>2027</v>
      </c>
      <c r="B196" s="35" t="s">
        <v>151</v>
      </c>
      <c r="C196" s="35" t="s">
        <v>203</v>
      </c>
      <c r="D196" s="5" t="s">
        <v>10</v>
      </c>
      <c r="E196" s="9">
        <v>0</v>
      </c>
      <c r="F196" s="9"/>
      <c r="G196" s="9"/>
      <c r="H196" s="9">
        <v>0</v>
      </c>
      <c r="I196" s="9">
        <v>2744</v>
      </c>
      <c r="J196" s="9">
        <v>-2744</v>
      </c>
    </row>
    <row r="197" spans="1:10" x14ac:dyDescent="0.35">
      <c r="A197" s="36">
        <v>2027</v>
      </c>
      <c r="B197" s="35" t="s">
        <v>151</v>
      </c>
      <c r="C197" s="35" t="s">
        <v>203</v>
      </c>
      <c r="D197" s="4" t="s">
        <v>204</v>
      </c>
      <c r="E197" s="10">
        <v>0</v>
      </c>
      <c r="H197" s="10">
        <v>0</v>
      </c>
      <c r="I197" s="10">
        <v>2744</v>
      </c>
      <c r="J197" s="10">
        <v>-2744</v>
      </c>
    </row>
    <row r="198" spans="1:10" x14ac:dyDescent="0.35">
      <c r="A198" s="36">
        <v>2027</v>
      </c>
      <c r="B198" s="35" t="s">
        <v>151</v>
      </c>
      <c r="C198" s="35" t="s">
        <v>205</v>
      </c>
      <c r="D198" s="5" t="s">
        <v>10</v>
      </c>
      <c r="E198" s="9">
        <v>0</v>
      </c>
      <c r="F198" s="9"/>
      <c r="G198" s="9"/>
      <c r="H198" s="9">
        <v>0</v>
      </c>
      <c r="I198" s="9">
        <v>206838.76</v>
      </c>
      <c r="J198" s="9">
        <v>-206838.76</v>
      </c>
    </row>
    <row r="199" spans="1:10" x14ac:dyDescent="0.35">
      <c r="A199" s="36">
        <v>2027</v>
      </c>
      <c r="B199" s="35" t="s">
        <v>151</v>
      </c>
      <c r="C199" s="35" t="s">
        <v>205</v>
      </c>
      <c r="D199" s="4" t="s">
        <v>206</v>
      </c>
      <c r="E199" s="10">
        <v>0</v>
      </c>
      <c r="H199" s="10">
        <v>0</v>
      </c>
      <c r="I199" s="10">
        <v>2584.1999999999998</v>
      </c>
      <c r="J199" s="10">
        <v>-2584.1999999999998</v>
      </c>
    </row>
    <row r="200" spans="1:10" x14ac:dyDescent="0.35">
      <c r="A200" s="36">
        <v>2027</v>
      </c>
      <c r="B200" s="35" t="s">
        <v>151</v>
      </c>
      <c r="C200" s="35" t="s">
        <v>205</v>
      </c>
      <c r="D200" s="4" t="s">
        <v>207</v>
      </c>
      <c r="E200" s="10">
        <v>0</v>
      </c>
      <c r="H200" s="10">
        <v>0</v>
      </c>
      <c r="I200" s="10">
        <v>92734.33</v>
      </c>
      <c r="J200" s="10">
        <v>-92734.33</v>
      </c>
    </row>
    <row r="201" spans="1:10" x14ac:dyDescent="0.35">
      <c r="A201" s="36">
        <v>2027</v>
      </c>
      <c r="B201" s="35" t="s">
        <v>151</v>
      </c>
      <c r="C201" s="35" t="s">
        <v>205</v>
      </c>
      <c r="D201" s="4" t="s">
        <v>208</v>
      </c>
      <c r="E201" s="10">
        <v>0</v>
      </c>
      <c r="H201" s="10">
        <v>0</v>
      </c>
      <c r="I201" s="10">
        <v>111520.18000000001</v>
      </c>
      <c r="J201" s="10">
        <v>-111520.18000000001</v>
      </c>
    </row>
    <row r="202" spans="1:10" x14ac:dyDescent="0.35">
      <c r="A202" s="36">
        <v>2027</v>
      </c>
      <c r="B202" s="35" t="s">
        <v>151</v>
      </c>
      <c r="C202" s="35" t="s">
        <v>205</v>
      </c>
      <c r="D202" s="4" t="s">
        <v>209</v>
      </c>
      <c r="I202" s="10">
        <v>0.01</v>
      </c>
      <c r="J202" s="10">
        <v>-0.01</v>
      </c>
    </row>
    <row r="203" spans="1:10" x14ac:dyDescent="0.35">
      <c r="A203" s="36">
        <v>2027</v>
      </c>
      <c r="B203" s="35" t="s">
        <v>151</v>
      </c>
      <c r="C203" s="35" t="s">
        <v>205</v>
      </c>
      <c r="D203" s="4" t="s">
        <v>210</v>
      </c>
      <c r="I203" s="10">
        <v>0.04</v>
      </c>
      <c r="J203" s="10">
        <v>-0.04</v>
      </c>
    </row>
    <row r="204" spans="1:10" x14ac:dyDescent="0.35">
      <c r="A204" s="36">
        <v>2027</v>
      </c>
      <c r="B204" s="35" t="s">
        <v>151</v>
      </c>
      <c r="C204" s="35" t="s">
        <v>211</v>
      </c>
      <c r="D204" s="5" t="s">
        <v>10</v>
      </c>
      <c r="E204" s="9">
        <v>0</v>
      </c>
      <c r="F204" s="9"/>
      <c r="G204" s="9"/>
      <c r="H204" s="9">
        <v>0</v>
      </c>
      <c r="I204" s="9">
        <v>1645.18</v>
      </c>
      <c r="J204" s="9">
        <v>-1645.18</v>
      </c>
    </row>
    <row r="205" spans="1:10" x14ac:dyDescent="0.35">
      <c r="A205" s="36">
        <v>2027</v>
      </c>
      <c r="B205" s="35" t="s">
        <v>151</v>
      </c>
      <c r="C205" s="35" t="s">
        <v>211</v>
      </c>
      <c r="D205" s="4" t="s">
        <v>212</v>
      </c>
      <c r="E205" s="10">
        <v>0</v>
      </c>
      <c r="H205" s="10">
        <v>0</v>
      </c>
      <c r="I205" s="10">
        <v>24.73</v>
      </c>
      <c r="J205" s="10">
        <v>-24.73</v>
      </c>
    </row>
    <row r="206" spans="1:10" x14ac:dyDescent="0.35">
      <c r="A206" s="36">
        <v>2027</v>
      </c>
      <c r="B206" s="35" t="s">
        <v>151</v>
      </c>
      <c r="C206" s="35" t="s">
        <v>211</v>
      </c>
      <c r="D206" s="4" t="s">
        <v>213</v>
      </c>
      <c r="I206" s="10">
        <v>1620.45</v>
      </c>
      <c r="J206" s="10">
        <v>-1620.45</v>
      </c>
    </row>
    <row r="207" spans="1:10" x14ac:dyDescent="0.35">
      <c r="A207" s="36">
        <v>2027</v>
      </c>
      <c r="B207" s="35" t="s">
        <v>151</v>
      </c>
      <c r="C207" s="35" t="s">
        <v>214</v>
      </c>
      <c r="D207" s="5" t="s">
        <v>10</v>
      </c>
      <c r="E207" s="9">
        <v>0</v>
      </c>
      <c r="F207" s="9"/>
      <c r="G207" s="9"/>
      <c r="H207" s="9">
        <v>0</v>
      </c>
      <c r="I207" s="9">
        <v>295114.83999999997</v>
      </c>
      <c r="J207" s="9">
        <v>-295114.83999999997</v>
      </c>
    </row>
    <row r="208" spans="1:10" x14ac:dyDescent="0.35">
      <c r="A208" s="36">
        <v>2027</v>
      </c>
      <c r="B208" s="35" t="s">
        <v>151</v>
      </c>
      <c r="C208" s="35" t="s">
        <v>214</v>
      </c>
      <c r="D208" s="4" t="s">
        <v>215</v>
      </c>
      <c r="E208" s="10">
        <v>0</v>
      </c>
      <c r="H208" s="10">
        <v>0</v>
      </c>
      <c r="I208" s="10">
        <v>18531.080000000002</v>
      </c>
      <c r="J208" s="10">
        <v>-18531.080000000002</v>
      </c>
    </row>
    <row r="209" spans="1:10" x14ac:dyDescent="0.35">
      <c r="A209" s="36">
        <v>2027</v>
      </c>
      <c r="B209" s="35" t="s">
        <v>151</v>
      </c>
      <c r="C209" s="35" t="s">
        <v>214</v>
      </c>
      <c r="D209" s="4" t="s">
        <v>216</v>
      </c>
      <c r="E209" s="10">
        <v>0</v>
      </c>
      <c r="H209" s="10">
        <v>0</v>
      </c>
      <c r="I209" s="10">
        <v>32312.48</v>
      </c>
      <c r="J209" s="10">
        <v>-32312.48</v>
      </c>
    </row>
    <row r="210" spans="1:10" x14ac:dyDescent="0.35">
      <c r="A210" s="36">
        <v>2027</v>
      </c>
      <c r="B210" s="35" t="s">
        <v>151</v>
      </c>
      <c r="C210" s="35" t="s">
        <v>214</v>
      </c>
      <c r="D210" s="4" t="s">
        <v>217</v>
      </c>
      <c r="E210" s="10">
        <v>0</v>
      </c>
      <c r="H210" s="10">
        <v>0</v>
      </c>
      <c r="J210" s="10">
        <v>0</v>
      </c>
    </row>
    <row r="211" spans="1:10" x14ac:dyDescent="0.35">
      <c r="A211" s="36">
        <v>2027</v>
      </c>
      <c r="B211" s="35" t="s">
        <v>151</v>
      </c>
      <c r="C211" s="35" t="s">
        <v>214</v>
      </c>
      <c r="D211" s="4" t="s">
        <v>218</v>
      </c>
      <c r="E211" s="10">
        <v>0</v>
      </c>
      <c r="H211" s="10">
        <v>0</v>
      </c>
      <c r="I211" s="10">
        <v>1799</v>
      </c>
      <c r="J211" s="10">
        <v>-1799</v>
      </c>
    </row>
    <row r="212" spans="1:10" x14ac:dyDescent="0.35">
      <c r="A212" s="36">
        <v>2027</v>
      </c>
      <c r="B212" s="35" t="s">
        <v>151</v>
      </c>
      <c r="C212" s="35" t="s">
        <v>214</v>
      </c>
      <c r="D212" s="4" t="s">
        <v>219</v>
      </c>
      <c r="E212" s="10">
        <v>0</v>
      </c>
      <c r="H212" s="10">
        <v>0</v>
      </c>
      <c r="I212" s="10">
        <v>231676.11</v>
      </c>
      <c r="J212" s="10">
        <v>-231676.11</v>
      </c>
    </row>
    <row r="213" spans="1:10" x14ac:dyDescent="0.35">
      <c r="A213" s="36">
        <v>2027</v>
      </c>
      <c r="B213" s="35" t="s">
        <v>151</v>
      </c>
      <c r="C213" s="35" t="s">
        <v>214</v>
      </c>
      <c r="D213" s="4" t="s">
        <v>220</v>
      </c>
      <c r="I213" s="10">
        <v>10796.17</v>
      </c>
      <c r="J213" s="10">
        <v>-10796.17</v>
      </c>
    </row>
    <row r="214" spans="1:10" x14ac:dyDescent="0.35">
      <c r="A214" s="36">
        <v>2027</v>
      </c>
      <c r="B214" s="35" t="s">
        <v>221</v>
      </c>
      <c r="C214" s="37" t="s">
        <v>10</v>
      </c>
      <c r="D214" s="39"/>
      <c r="E214" s="9">
        <v>3788057.4287</v>
      </c>
      <c r="F214" s="9"/>
      <c r="G214" s="9"/>
      <c r="H214" s="9">
        <v>3788057.43</v>
      </c>
      <c r="I214" s="9">
        <v>2552562.6400000006</v>
      </c>
      <c r="J214" s="9">
        <v>1235494.7886999995</v>
      </c>
    </row>
    <row r="215" spans="1:10" x14ac:dyDescent="0.35">
      <c r="A215" s="36">
        <v>2027</v>
      </c>
      <c r="B215" s="35" t="s">
        <v>221</v>
      </c>
      <c r="C215" s="35" t="s">
        <v>222</v>
      </c>
      <c r="D215" s="5" t="s">
        <v>10</v>
      </c>
      <c r="E215" s="9">
        <v>2069279.4287</v>
      </c>
      <c r="F215" s="9"/>
      <c r="G215" s="9"/>
      <c r="H215" s="9">
        <v>2069279.43</v>
      </c>
      <c r="I215" s="9">
        <v>1254522.3400000001</v>
      </c>
      <c r="J215" s="9">
        <v>814757.08869999996</v>
      </c>
    </row>
    <row r="216" spans="1:10" x14ac:dyDescent="0.35">
      <c r="A216" s="36">
        <v>2027</v>
      </c>
      <c r="B216" s="35" t="s">
        <v>221</v>
      </c>
      <c r="C216" s="35" t="s">
        <v>222</v>
      </c>
      <c r="D216" s="4" t="s">
        <v>223</v>
      </c>
      <c r="E216" s="10">
        <v>2069279.4287</v>
      </c>
      <c r="H216" s="10">
        <v>2069279.43</v>
      </c>
      <c r="I216" s="10">
        <v>1254522.3400000001</v>
      </c>
      <c r="J216" s="10">
        <v>814757.08869999996</v>
      </c>
    </row>
    <row r="217" spans="1:10" x14ac:dyDescent="0.35">
      <c r="A217" s="36">
        <v>2027</v>
      </c>
      <c r="B217" s="35" t="s">
        <v>221</v>
      </c>
      <c r="C217" s="35" t="s">
        <v>224</v>
      </c>
      <c r="D217" s="5" t="s">
        <v>10</v>
      </c>
      <c r="E217" s="9">
        <v>1718778</v>
      </c>
      <c r="F217" s="9"/>
      <c r="G217" s="9"/>
      <c r="H217" s="9">
        <v>1718778</v>
      </c>
      <c r="I217" s="9">
        <v>560419.37</v>
      </c>
      <c r="J217" s="9">
        <v>1158358.6299999999</v>
      </c>
    </row>
    <row r="218" spans="1:10" x14ac:dyDescent="0.35">
      <c r="A218" s="36">
        <v>2027</v>
      </c>
      <c r="B218" s="35" t="s">
        <v>221</v>
      </c>
      <c r="C218" s="35" t="s">
        <v>224</v>
      </c>
      <c r="D218" s="4" t="s">
        <v>225</v>
      </c>
      <c r="E218" s="10">
        <v>699327</v>
      </c>
      <c r="H218" s="10">
        <v>699327</v>
      </c>
      <c r="I218" s="10">
        <v>239421</v>
      </c>
      <c r="J218" s="10">
        <v>459906</v>
      </c>
    </row>
    <row r="219" spans="1:10" x14ac:dyDescent="0.35">
      <c r="A219" s="36">
        <v>2027</v>
      </c>
      <c r="B219" s="35" t="s">
        <v>221</v>
      </c>
      <c r="C219" s="35" t="s">
        <v>224</v>
      </c>
      <c r="D219" s="4" t="s">
        <v>226</v>
      </c>
      <c r="E219" s="10">
        <v>650000</v>
      </c>
      <c r="H219" s="10">
        <v>650000</v>
      </c>
      <c r="I219" s="10">
        <v>148635</v>
      </c>
      <c r="J219" s="10">
        <v>501365</v>
      </c>
    </row>
    <row r="220" spans="1:10" x14ac:dyDescent="0.35">
      <c r="A220" s="36">
        <v>2027</v>
      </c>
      <c r="B220" s="35" t="s">
        <v>221</v>
      </c>
      <c r="C220" s="35" t="s">
        <v>224</v>
      </c>
      <c r="D220" s="4" t="s">
        <v>227</v>
      </c>
      <c r="E220" s="10">
        <v>369451</v>
      </c>
      <c r="H220" s="10">
        <v>369451</v>
      </c>
      <c r="I220" s="10">
        <v>159469.66999999998</v>
      </c>
      <c r="J220" s="10">
        <v>209981.33000000002</v>
      </c>
    </row>
    <row r="221" spans="1:10" x14ac:dyDescent="0.35">
      <c r="A221" s="36">
        <v>2027</v>
      </c>
      <c r="B221" s="35" t="s">
        <v>221</v>
      </c>
      <c r="C221" s="35" t="s">
        <v>224</v>
      </c>
      <c r="D221" s="4" t="s">
        <v>228</v>
      </c>
      <c r="E221" s="10">
        <v>0</v>
      </c>
      <c r="H221" s="10">
        <v>0</v>
      </c>
      <c r="I221" s="10">
        <v>12684.68</v>
      </c>
      <c r="J221" s="10">
        <v>-12684.68</v>
      </c>
    </row>
    <row r="222" spans="1:10" x14ac:dyDescent="0.35">
      <c r="A222" s="36">
        <v>2027</v>
      </c>
      <c r="B222" s="35" t="s">
        <v>221</v>
      </c>
      <c r="C222" s="35" t="s">
        <v>224</v>
      </c>
      <c r="D222" s="4" t="s">
        <v>229</v>
      </c>
      <c r="E222" s="10">
        <v>0</v>
      </c>
      <c r="H222" s="10">
        <v>0</v>
      </c>
      <c r="I222" s="10">
        <v>209.02</v>
      </c>
      <c r="J222" s="10">
        <v>-209.02</v>
      </c>
    </row>
    <row r="223" spans="1:10" x14ac:dyDescent="0.35">
      <c r="A223" s="36">
        <v>2027</v>
      </c>
      <c r="B223" s="35" t="s">
        <v>221</v>
      </c>
      <c r="C223" s="35" t="s">
        <v>230</v>
      </c>
      <c r="D223" s="5" t="s">
        <v>10</v>
      </c>
      <c r="E223" s="9">
        <v>0</v>
      </c>
      <c r="F223" s="9"/>
      <c r="G223" s="9"/>
      <c r="H223" s="9">
        <v>0</v>
      </c>
      <c r="I223" s="9">
        <v>150443</v>
      </c>
      <c r="J223" s="9">
        <v>-150443</v>
      </c>
    </row>
    <row r="224" spans="1:10" x14ac:dyDescent="0.35">
      <c r="A224" s="36">
        <v>2027</v>
      </c>
      <c r="B224" s="35" t="s">
        <v>221</v>
      </c>
      <c r="C224" s="35" t="s">
        <v>230</v>
      </c>
      <c r="D224" s="4" t="s">
        <v>231</v>
      </c>
      <c r="E224" s="10">
        <v>0</v>
      </c>
      <c r="H224" s="10">
        <v>0</v>
      </c>
      <c r="I224" s="10">
        <v>25443</v>
      </c>
      <c r="J224" s="10">
        <v>-25443</v>
      </c>
    </row>
    <row r="225" spans="1:10" x14ac:dyDescent="0.35">
      <c r="A225" s="36">
        <v>2027</v>
      </c>
      <c r="B225" s="35" t="s">
        <v>221</v>
      </c>
      <c r="C225" s="35" t="s">
        <v>230</v>
      </c>
      <c r="D225" s="4" t="s">
        <v>232</v>
      </c>
      <c r="E225" s="10">
        <v>0</v>
      </c>
      <c r="H225" s="10">
        <v>0</v>
      </c>
      <c r="I225" s="10">
        <v>125000</v>
      </c>
      <c r="J225" s="10">
        <v>-125000</v>
      </c>
    </row>
    <row r="226" spans="1:10" x14ac:dyDescent="0.35">
      <c r="A226" s="36">
        <v>2027</v>
      </c>
      <c r="B226" s="35" t="s">
        <v>221</v>
      </c>
      <c r="C226" s="35" t="s">
        <v>66</v>
      </c>
      <c r="D226" s="5" t="s">
        <v>10</v>
      </c>
      <c r="E226" s="9">
        <v>0</v>
      </c>
      <c r="F226" s="9"/>
      <c r="G226" s="9"/>
      <c r="H226" s="9">
        <v>0</v>
      </c>
      <c r="I226" s="9">
        <v>2552.33</v>
      </c>
      <c r="J226" s="9">
        <v>-2552.33</v>
      </c>
    </row>
    <row r="227" spans="1:10" x14ac:dyDescent="0.35">
      <c r="A227" s="36">
        <v>2027</v>
      </c>
      <c r="B227" s="35" t="s">
        <v>221</v>
      </c>
      <c r="C227" s="35" t="s">
        <v>66</v>
      </c>
      <c r="D227" s="4" t="s">
        <v>233</v>
      </c>
      <c r="E227" s="10">
        <v>0</v>
      </c>
      <c r="H227" s="10">
        <v>0</v>
      </c>
      <c r="I227" s="10">
        <v>2552.33</v>
      </c>
      <c r="J227" s="10">
        <v>-2552.33</v>
      </c>
    </row>
    <row r="228" spans="1:10" x14ac:dyDescent="0.35">
      <c r="A228" s="36">
        <v>2027</v>
      </c>
      <c r="B228" s="35" t="s">
        <v>221</v>
      </c>
      <c r="C228" s="35" t="s">
        <v>234</v>
      </c>
      <c r="D228" s="5" t="s">
        <v>10</v>
      </c>
      <c r="E228" s="9">
        <v>0</v>
      </c>
      <c r="F228" s="9"/>
      <c r="G228" s="9"/>
      <c r="H228" s="9">
        <v>0</v>
      </c>
      <c r="I228" s="9">
        <v>231982.74</v>
      </c>
      <c r="J228" s="9">
        <v>-231982.74</v>
      </c>
    </row>
    <row r="229" spans="1:10" x14ac:dyDescent="0.35">
      <c r="A229" s="36">
        <v>2027</v>
      </c>
      <c r="B229" s="35" t="s">
        <v>221</v>
      </c>
      <c r="C229" s="35" t="s">
        <v>234</v>
      </c>
      <c r="D229" s="4" t="s">
        <v>235</v>
      </c>
      <c r="E229" s="10">
        <v>0</v>
      </c>
      <c r="H229" s="10">
        <v>0</v>
      </c>
      <c r="I229" s="10">
        <v>24344.9</v>
      </c>
      <c r="J229" s="10">
        <v>-24344.9</v>
      </c>
    </row>
    <row r="230" spans="1:10" x14ac:dyDescent="0.35">
      <c r="A230" s="36">
        <v>2027</v>
      </c>
      <c r="B230" s="35" t="s">
        <v>221</v>
      </c>
      <c r="C230" s="35" t="s">
        <v>234</v>
      </c>
      <c r="D230" s="4" t="s">
        <v>236</v>
      </c>
      <c r="E230" s="10">
        <v>0</v>
      </c>
      <c r="H230" s="10">
        <v>0</v>
      </c>
      <c r="I230" s="10">
        <v>207637.84</v>
      </c>
      <c r="J230" s="10">
        <v>-207637.84</v>
      </c>
    </row>
    <row r="231" spans="1:10" x14ac:dyDescent="0.35">
      <c r="A231" s="36">
        <v>2027</v>
      </c>
      <c r="B231" s="35" t="s">
        <v>221</v>
      </c>
      <c r="C231" s="35" t="s">
        <v>237</v>
      </c>
      <c r="D231" s="5" t="s">
        <v>10</v>
      </c>
      <c r="E231" s="9"/>
      <c r="F231" s="9"/>
      <c r="G231" s="9"/>
      <c r="H231" s="9"/>
      <c r="I231" s="9">
        <v>59685.5</v>
      </c>
      <c r="J231" s="9">
        <v>-59685.5</v>
      </c>
    </row>
    <row r="232" spans="1:10" x14ac:dyDescent="0.35">
      <c r="A232" s="36">
        <v>2027</v>
      </c>
      <c r="B232" s="35" t="s">
        <v>221</v>
      </c>
      <c r="C232" s="35" t="s">
        <v>237</v>
      </c>
      <c r="D232" s="4" t="s">
        <v>238</v>
      </c>
      <c r="I232" s="10">
        <v>59685.5</v>
      </c>
      <c r="J232" s="10">
        <v>-59685.5</v>
      </c>
    </row>
    <row r="233" spans="1:10" x14ac:dyDescent="0.35">
      <c r="A233" s="36">
        <v>2027</v>
      </c>
      <c r="B233" s="35" t="s">
        <v>221</v>
      </c>
      <c r="C233" s="35" t="s">
        <v>239</v>
      </c>
      <c r="D233" s="5" t="s">
        <v>10</v>
      </c>
      <c r="E233" s="9"/>
      <c r="F233" s="9"/>
      <c r="G233" s="9"/>
      <c r="H233" s="9"/>
      <c r="I233" s="9">
        <v>0</v>
      </c>
      <c r="J233" s="9">
        <v>0</v>
      </c>
    </row>
    <row r="234" spans="1:10" x14ac:dyDescent="0.35">
      <c r="A234" s="36">
        <v>2027</v>
      </c>
      <c r="B234" s="35" t="s">
        <v>221</v>
      </c>
      <c r="C234" s="35" t="s">
        <v>239</v>
      </c>
      <c r="D234" s="4" t="s">
        <v>240</v>
      </c>
      <c r="I234" s="10">
        <v>0</v>
      </c>
      <c r="J234" s="10">
        <v>0</v>
      </c>
    </row>
    <row r="235" spans="1:10" x14ac:dyDescent="0.35">
      <c r="A235" s="36">
        <v>2027</v>
      </c>
      <c r="B235" s="35" t="s">
        <v>221</v>
      </c>
      <c r="C235" s="35" t="s">
        <v>241</v>
      </c>
      <c r="D235" s="5" t="s">
        <v>10</v>
      </c>
      <c r="E235" s="9"/>
      <c r="F235" s="9"/>
      <c r="G235" s="9"/>
      <c r="H235" s="9"/>
      <c r="I235" s="9">
        <v>292957.36</v>
      </c>
      <c r="J235" s="9">
        <v>-292957.36</v>
      </c>
    </row>
    <row r="236" spans="1:10" x14ac:dyDescent="0.35">
      <c r="A236" s="36">
        <v>2027</v>
      </c>
      <c r="B236" s="35" t="s">
        <v>221</v>
      </c>
      <c r="C236" s="35" t="s">
        <v>241</v>
      </c>
      <c r="D236" s="4" t="s">
        <v>242</v>
      </c>
      <c r="I236" s="10">
        <v>7391.92</v>
      </c>
      <c r="J236" s="10">
        <v>-7391.92</v>
      </c>
    </row>
    <row r="237" spans="1:10" x14ac:dyDescent="0.35">
      <c r="A237" s="36">
        <v>2027</v>
      </c>
      <c r="B237" s="35" t="s">
        <v>221</v>
      </c>
      <c r="C237" s="35" t="s">
        <v>241</v>
      </c>
      <c r="D237" s="4" t="s">
        <v>243</v>
      </c>
      <c r="I237" s="10">
        <v>285565.44</v>
      </c>
      <c r="J237" s="10">
        <v>-285565.44</v>
      </c>
    </row>
    <row r="238" spans="1:10" x14ac:dyDescent="0.35">
      <c r="A238" s="36">
        <v>2027</v>
      </c>
      <c r="B238" s="35" t="s">
        <v>221</v>
      </c>
      <c r="C238" s="35" t="s">
        <v>244</v>
      </c>
      <c r="D238" s="5" t="s">
        <v>10</v>
      </c>
      <c r="E238" s="9"/>
      <c r="F238" s="9"/>
      <c r="G238" s="9"/>
      <c r="H238" s="9"/>
      <c r="I238" s="9">
        <v>0</v>
      </c>
      <c r="J238" s="9">
        <v>0</v>
      </c>
    </row>
    <row r="239" spans="1:10" x14ac:dyDescent="0.35">
      <c r="A239" s="36">
        <v>2027</v>
      </c>
      <c r="B239" s="35" t="s">
        <v>221</v>
      </c>
      <c r="C239" s="35" t="s">
        <v>244</v>
      </c>
      <c r="D239" s="4" t="s">
        <v>245</v>
      </c>
      <c r="I239" s="10">
        <v>0</v>
      </c>
      <c r="J239" s="10">
        <v>0</v>
      </c>
    </row>
    <row r="240" spans="1:10" x14ac:dyDescent="0.35">
      <c r="A240" s="36">
        <v>2026</v>
      </c>
      <c r="B240" s="37" t="s">
        <v>10</v>
      </c>
      <c r="C240" s="38"/>
      <c r="D240" s="39"/>
      <c r="E240" s="9">
        <v>144850860.10760003</v>
      </c>
      <c r="F240" s="9">
        <v>48633309.729999982</v>
      </c>
      <c r="G240" s="9">
        <v>5114470.3800000027</v>
      </c>
      <c r="H240" s="9">
        <v>91103080</v>
      </c>
      <c r="I240" s="9">
        <v>46652308.160000011</v>
      </c>
      <c r="J240" s="9">
        <v>44450771.837600037</v>
      </c>
    </row>
    <row r="241" spans="1:10" x14ac:dyDescent="0.35">
      <c r="A241" s="36">
        <v>2026</v>
      </c>
      <c r="B241" s="35" t="s">
        <v>11</v>
      </c>
      <c r="C241" s="37" t="s">
        <v>10</v>
      </c>
      <c r="D241" s="39"/>
      <c r="E241" s="9">
        <v>97999337.460000008</v>
      </c>
      <c r="F241" s="9">
        <v>30772780.249999993</v>
      </c>
      <c r="G241" s="9">
        <v>4189597.3000000007</v>
      </c>
      <c r="H241" s="9">
        <v>63036959.909999996</v>
      </c>
      <c r="I241" s="9">
        <v>38284055.350000009</v>
      </c>
      <c r="J241" s="9">
        <v>24752904.560000002</v>
      </c>
    </row>
    <row r="242" spans="1:10" x14ac:dyDescent="0.35">
      <c r="A242" s="36">
        <v>2026</v>
      </c>
      <c r="B242" s="35" t="s">
        <v>11</v>
      </c>
      <c r="C242" s="35" t="s">
        <v>115</v>
      </c>
      <c r="D242" s="5" t="s">
        <v>10</v>
      </c>
      <c r="E242" s="9">
        <v>26160855.300000001</v>
      </c>
      <c r="F242" s="9">
        <v>4958885.7300000004</v>
      </c>
      <c r="G242" s="9">
        <v>1905021.8199999998</v>
      </c>
      <c r="H242" s="9">
        <v>19296947.75</v>
      </c>
      <c r="I242" s="9">
        <v>10038616.539999999</v>
      </c>
      <c r="J242" s="9">
        <v>9258331.2100000009</v>
      </c>
    </row>
    <row r="243" spans="1:10" x14ac:dyDescent="0.35">
      <c r="A243" s="36">
        <v>2026</v>
      </c>
      <c r="B243" s="35" t="s">
        <v>11</v>
      </c>
      <c r="C243" s="35" t="s">
        <v>115</v>
      </c>
      <c r="D243" s="4" t="s">
        <v>116</v>
      </c>
      <c r="E243" s="10">
        <v>21610400.070100002</v>
      </c>
      <c r="F243" s="10">
        <v>2654213.9399999995</v>
      </c>
      <c r="G243" s="10">
        <v>1863725.8199999998</v>
      </c>
      <c r="H243" s="10">
        <v>17092460.309999999</v>
      </c>
      <c r="I243" s="10">
        <v>7869727.3100000005</v>
      </c>
      <c r="J243" s="10">
        <v>9222733.0001000036</v>
      </c>
    </row>
    <row r="244" spans="1:10" x14ac:dyDescent="0.35">
      <c r="A244" s="36">
        <v>2026</v>
      </c>
      <c r="B244" s="35" t="s">
        <v>11</v>
      </c>
      <c r="C244" s="35" t="s">
        <v>115</v>
      </c>
      <c r="D244" s="4" t="s">
        <v>129</v>
      </c>
      <c r="E244" s="10">
        <v>1270000</v>
      </c>
      <c r="H244" s="10">
        <v>1270000</v>
      </c>
      <c r="I244" s="10">
        <v>166468.68</v>
      </c>
      <c r="J244" s="10">
        <v>1103531.32</v>
      </c>
    </row>
    <row r="245" spans="1:10" x14ac:dyDescent="0.35">
      <c r="A245" s="36">
        <v>2026</v>
      </c>
      <c r="B245" s="35" t="s">
        <v>11</v>
      </c>
      <c r="C245" s="35" t="s">
        <v>115</v>
      </c>
      <c r="D245" s="4" t="s">
        <v>128</v>
      </c>
      <c r="E245" s="10">
        <v>567537.65</v>
      </c>
      <c r="F245" s="10">
        <v>177313.28</v>
      </c>
      <c r="G245" s="10">
        <v>11956</v>
      </c>
      <c r="H245" s="10">
        <v>378268.37</v>
      </c>
      <c r="I245" s="10">
        <v>281224.78999999998</v>
      </c>
      <c r="J245" s="10">
        <v>97043.580000000016</v>
      </c>
    </row>
    <row r="246" spans="1:10" x14ac:dyDescent="0.35">
      <c r="A246" s="36">
        <v>2026</v>
      </c>
      <c r="B246" s="35" t="s">
        <v>11</v>
      </c>
      <c r="C246" s="35" t="s">
        <v>115</v>
      </c>
      <c r="D246" s="4" t="s">
        <v>121</v>
      </c>
      <c r="E246" s="10">
        <v>131967</v>
      </c>
      <c r="H246" s="10">
        <v>131967</v>
      </c>
      <c r="I246" s="10">
        <v>111047.5</v>
      </c>
      <c r="J246" s="10">
        <v>20919.5</v>
      </c>
    </row>
    <row r="247" spans="1:10" x14ac:dyDescent="0.35">
      <c r="A247" s="36">
        <v>2026</v>
      </c>
      <c r="B247" s="35" t="s">
        <v>11</v>
      </c>
      <c r="C247" s="35" t="s">
        <v>115</v>
      </c>
      <c r="D247" s="4" t="s">
        <v>123</v>
      </c>
      <c r="E247" s="10">
        <v>131967</v>
      </c>
      <c r="H247" s="10">
        <v>131967</v>
      </c>
      <c r="I247" s="10">
        <v>326477.5</v>
      </c>
      <c r="J247" s="10">
        <v>-194510.5</v>
      </c>
    </row>
    <row r="248" spans="1:10" x14ac:dyDescent="0.35">
      <c r="A248" s="36">
        <v>2026</v>
      </c>
      <c r="B248" s="35" t="s">
        <v>11</v>
      </c>
      <c r="C248" s="35" t="s">
        <v>115</v>
      </c>
      <c r="D248" s="4" t="s">
        <v>125</v>
      </c>
      <c r="E248" s="10">
        <v>131967</v>
      </c>
      <c r="H248" s="10">
        <v>131967</v>
      </c>
      <c r="I248" s="10">
        <v>147132.5</v>
      </c>
      <c r="J248" s="10">
        <v>-15165.5</v>
      </c>
    </row>
    <row r="249" spans="1:10" x14ac:dyDescent="0.35">
      <c r="A249" s="36">
        <v>2026</v>
      </c>
      <c r="B249" s="35" t="s">
        <v>11</v>
      </c>
      <c r="C249" s="35" t="s">
        <v>115</v>
      </c>
      <c r="D249" s="4" t="s">
        <v>124</v>
      </c>
      <c r="E249" s="10">
        <v>131967</v>
      </c>
      <c r="F249" s="10">
        <v>12299.99</v>
      </c>
      <c r="H249" s="10">
        <v>119667.01</v>
      </c>
      <c r="I249" s="10">
        <v>486972.08</v>
      </c>
      <c r="J249" s="10">
        <v>-367305.07</v>
      </c>
    </row>
    <row r="250" spans="1:10" x14ac:dyDescent="0.35">
      <c r="A250" s="36">
        <v>2026</v>
      </c>
      <c r="B250" s="35" t="s">
        <v>11</v>
      </c>
      <c r="C250" s="35" t="s">
        <v>115</v>
      </c>
      <c r="D250" s="4" t="s">
        <v>126</v>
      </c>
      <c r="E250" s="10">
        <v>131966.86989999999</v>
      </c>
      <c r="F250" s="10">
        <v>14038.52</v>
      </c>
      <c r="H250" s="10">
        <v>117928.35</v>
      </c>
      <c r="I250" s="10">
        <v>253350</v>
      </c>
      <c r="J250" s="10">
        <v>-135421.65010000003</v>
      </c>
    </row>
    <row r="251" spans="1:10" x14ac:dyDescent="0.35">
      <c r="A251" s="36">
        <v>2026</v>
      </c>
      <c r="B251" s="35" t="s">
        <v>11</v>
      </c>
      <c r="C251" s="35" t="s">
        <v>115</v>
      </c>
      <c r="D251" s="4" t="s">
        <v>122</v>
      </c>
      <c r="E251" s="10">
        <v>131967</v>
      </c>
      <c r="F251" s="10">
        <v>23380</v>
      </c>
      <c r="H251" s="10">
        <v>108587</v>
      </c>
      <c r="I251" s="10">
        <v>123752.5</v>
      </c>
      <c r="J251" s="10">
        <v>-15165.5</v>
      </c>
    </row>
    <row r="252" spans="1:10" x14ac:dyDescent="0.35">
      <c r="A252" s="36">
        <v>2026</v>
      </c>
      <c r="B252" s="35" t="s">
        <v>11</v>
      </c>
      <c r="C252" s="35" t="s">
        <v>115</v>
      </c>
      <c r="D252" s="4" t="s">
        <v>130</v>
      </c>
      <c r="E252" s="10">
        <v>29611</v>
      </c>
      <c r="H252" s="10">
        <v>29611</v>
      </c>
      <c r="I252" s="10">
        <v>6387.8</v>
      </c>
      <c r="J252" s="10">
        <v>23223.200000000001</v>
      </c>
    </row>
    <row r="253" spans="1:10" x14ac:dyDescent="0.35">
      <c r="A253" s="36">
        <v>2026</v>
      </c>
      <c r="B253" s="35" t="s">
        <v>11</v>
      </c>
      <c r="C253" s="35" t="s">
        <v>115</v>
      </c>
      <c r="D253" s="4" t="s">
        <v>133</v>
      </c>
      <c r="E253" s="10">
        <v>229809.05000000002</v>
      </c>
      <c r="F253" s="10">
        <v>191511.81</v>
      </c>
      <c r="G253" s="10">
        <v>29340</v>
      </c>
      <c r="H253" s="10">
        <v>8957.24</v>
      </c>
      <c r="I253" s="10">
        <v>23518.769999999997</v>
      </c>
      <c r="J253" s="10">
        <v>-14561.529999999977</v>
      </c>
    </row>
    <row r="254" spans="1:10" x14ac:dyDescent="0.35">
      <c r="A254" s="36">
        <v>2026</v>
      </c>
      <c r="B254" s="35" t="s">
        <v>11</v>
      </c>
      <c r="C254" s="35" t="s">
        <v>115</v>
      </c>
      <c r="D254" s="4" t="s">
        <v>135</v>
      </c>
      <c r="E254" s="10">
        <v>7346.63</v>
      </c>
      <c r="H254" s="10">
        <v>7346.63</v>
      </c>
      <c r="I254" s="10">
        <v>20833</v>
      </c>
      <c r="J254" s="10">
        <v>-13486.369999999999</v>
      </c>
    </row>
    <row r="255" spans="1:10" x14ac:dyDescent="0.35">
      <c r="A255" s="36">
        <v>2026</v>
      </c>
      <c r="B255" s="35" t="s">
        <v>11</v>
      </c>
      <c r="C255" s="35" t="s">
        <v>115</v>
      </c>
      <c r="D255" s="4" t="s">
        <v>127</v>
      </c>
      <c r="E255" s="10">
        <v>1347</v>
      </c>
      <c r="H255" s="10">
        <v>1347</v>
      </c>
      <c r="I255" s="10">
        <v>0.01</v>
      </c>
      <c r="J255" s="10">
        <v>1346.99</v>
      </c>
    </row>
    <row r="256" spans="1:10" x14ac:dyDescent="0.35">
      <c r="A256" s="36">
        <v>2026</v>
      </c>
      <c r="B256" s="35" t="s">
        <v>11</v>
      </c>
      <c r="C256" s="35" t="s">
        <v>115</v>
      </c>
      <c r="D256" s="4" t="s">
        <v>134</v>
      </c>
      <c r="E256" s="10">
        <v>1017</v>
      </c>
      <c r="H256" s="10">
        <v>1017</v>
      </c>
      <c r="I256" s="10">
        <v>6696.9800000000014</v>
      </c>
      <c r="J256" s="10">
        <v>-5679.9800000000014</v>
      </c>
    </row>
    <row r="257" spans="1:10" x14ac:dyDescent="0.35">
      <c r="A257" s="36">
        <v>2026</v>
      </c>
      <c r="B257" s="35" t="s">
        <v>11</v>
      </c>
      <c r="C257" s="35" t="s">
        <v>115</v>
      </c>
      <c r="D257" s="4" t="s">
        <v>117</v>
      </c>
      <c r="E257" s="10">
        <v>0</v>
      </c>
      <c r="H257" s="10">
        <v>0</v>
      </c>
      <c r="J257" s="10">
        <v>0</v>
      </c>
    </row>
    <row r="258" spans="1:10" x14ac:dyDescent="0.35">
      <c r="A258" s="36">
        <v>2026</v>
      </c>
      <c r="B258" s="35" t="s">
        <v>11</v>
      </c>
      <c r="C258" s="35" t="s">
        <v>115</v>
      </c>
      <c r="D258" s="4" t="s">
        <v>118</v>
      </c>
      <c r="E258" s="10">
        <v>0</v>
      </c>
      <c r="H258" s="10">
        <v>0</v>
      </c>
      <c r="J258" s="10">
        <v>0</v>
      </c>
    </row>
    <row r="259" spans="1:10" x14ac:dyDescent="0.35">
      <c r="A259" s="36">
        <v>2026</v>
      </c>
      <c r="B259" s="35" t="s">
        <v>11</v>
      </c>
      <c r="C259" s="35" t="s">
        <v>115</v>
      </c>
      <c r="D259" s="4" t="s">
        <v>119</v>
      </c>
      <c r="E259" s="10">
        <v>0</v>
      </c>
      <c r="H259" s="10">
        <v>0</v>
      </c>
      <c r="J259" s="10">
        <v>0</v>
      </c>
    </row>
    <row r="260" spans="1:10" x14ac:dyDescent="0.35">
      <c r="A260" s="36">
        <v>2026</v>
      </c>
      <c r="B260" s="35" t="s">
        <v>11</v>
      </c>
      <c r="C260" s="35" t="s">
        <v>115</v>
      </c>
      <c r="D260" s="4" t="s">
        <v>120</v>
      </c>
      <c r="E260" s="10">
        <v>0</v>
      </c>
      <c r="H260" s="10">
        <v>0</v>
      </c>
      <c r="J260" s="10">
        <v>0</v>
      </c>
    </row>
    <row r="261" spans="1:10" x14ac:dyDescent="0.35">
      <c r="A261" s="36">
        <v>2026</v>
      </c>
      <c r="B261" s="35" t="s">
        <v>11</v>
      </c>
      <c r="C261" s="35" t="s">
        <v>115</v>
      </c>
      <c r="D261" s="4" t="s">
        <v>132</v>
      </c>
      <c r="E261" s="10">
        <v>36383.89</v>
      </c>
      <c r="F261" s="10">
        <v>36383.89</v>
      </c>
      <c r="H261" s="10">
        <v>0</v>
      </c>
      <c r="J261" s="10">
        <v>0</v>
      </c>
    </row>
    <row r="262" spans="1:10" x14ac:dyDescent="0.35">
      <c r="A262" s="36">
        <v>2026</v>
      </c>
      <c r="B262" s="35" t="s">
        <v>11</v>
      </c>
      <c r="C262" s="35" t="s">
        <v>115</v>
      </c>
      <c r="D262" s="4" t="s">
        <v>136</v>
      </c>
      <c r="I262" s="10">
        <v>33600.54</v>
      </c>
      <c r="J262" s="10">
        <v>-33600.54</v>
      </c>
    </row>
    <row r="263" spans="1:10" x14ac:dyDescent="0.35">
      <c r="A263" s="36">
        <v>2026</v>
      </c>
      <c r="B263" s="35" t="s">
        <v>11</v>
      </c>
      <c r="C263" s="35" t="s">
        <v>115</v>
      </c>
      <c r="D263" s="4" t="s">
        <v>137</v>
      </c>
      <c r="I263" s="10">
        <v>18335.03</v>
      </c>
      <c r="J263" s="10">
        <v>-18335.03</v>
      </c>
    </row>
    <row r="264" spans="1:10" x14ac:dyDescent="0.35">
      <c r="A264" s="36">
        <v>2026</v>
      </c>
      <c r="B264" s="35" t="s">
        <v>11</v>
      </c>
      <c r="C264" s="35" t="s">
        <v>115</v>
      </c>
      <c r="D264" s="4" t="s">
        <v>131</v>
      </c>
      <c r="E264" s="10">
        <v>1615601.14</v>
      </c>
      <c r="F264" s="10">
        <v>1849744.3000000003</v>
      </c>
      <c r="G264" s="10">
        <v>0</v>
      </c>
      <c r="H264" s="10">
        <v>-234143.16</v>
      </c>
      <c r="I264" s="10">
        <v>163091.54999999999</v>
      </c>
      <c r="J264" s="10">
        <v>-397234.71000000014</v>
      </c>
    </row>
    <row r="265" spans="1:10" x14ac:dyDescent="0.35">
      <c r="A265" s="36">
        <v>2026</v>
      </c>
      <c r="B265" s="35" t="s">
        <v>11</v>
      </c>
      <c r="C265" s="35" t="s">
        <v>66</v>
      </c>
      <c r="D265" s="5" t="s">
        <v>10</v>
      </c>
      <c r="E265" s="9">
        <v>14174635.209900003</v>
      </c>
      <c r="F265" s="9">
        <v>3432219.44</v>
      </c>
      <c r="G265" s="9">
        <v>432546.76</v>
      </c>
      <c r="H265" s="9">
        <v>10309869.01</v>
      </c>
      <c r="I265" s="9">
        <v>5809345.2999999998</v>
      </c>
      <c r="J265" s="9">
        <v>4500523.7099000039</v>
      </c>
    </row>
    <row r="266" spans="1:10" x14ac:dyDescent="0.35">
      <c r="A266" s="36">
        <v>2026</v>
      </c>
      <c r="B266" s="35" t="s">
        <v>11</v>
      </c>
      <c r="C266" s="35" t="s">
        <v>66</v>
      </c>
      <c r="D266" s="4" t="s">
        <v>68</v>
      </c>
      <c r="E266" s="10">
        <v>2131000</v>
      </c>
      <c r="G266" s="10">
        <v>33630</v>
      </c>
      <c r="H266" s="10">
        <v>2097370</v>
      </c>
      <c r="I266" s="10">
        <v>1875380</v>
      </c>
      <c r="J266" s="10">
        <v>221990</v>
      </c>
    </row>
    <row r="267" spans="1:10" x14ac:dyDescent="0.35">
      <c r="A267" s="36">
        <v>2026</v>
      </c>
      <c r="B267" s="35" t="s">
        <v>11</v>
      </c>
      <c r="C267" s="35" t="s">
        <v>66</v>
      </c>
      <c r="D267" s="4" t="s">
        <v>69</v>
      </c>
      <c r="E267" s="10">
        <v>1940050</v>
      </c>
      <c r="F267" s="10">
        <v>3761.95</v>
      </c>
      <c r="H267" s="10">
        <v>1936288.05</v>
      </c>
      <c r="I267" s="10">
        <v>1334833.4399999997</v>
      </c>
      <c r="J267" s="10">
        <v>601454.61000000034</v>
      </c>
    </row>
    <row r="268" spans="1:10" x14ac:dyDescent="0.35">
      <c r="A268" s="36">
        <v>2026</v>
      </c>
      <c r="B268" s="35" t="s">
        <v>11</v>
      </c>
      <c r="C268" s="35" t="s">
        <v>66</v>
      </c>
      <c r="D268" s="4" t="s">
        <v>82</v>
      </c>
      <c r="E268" s="10">
        <v>1701843.8399999999</v>
      </c>
      <c r="F268" s="10">
        <v>178653.47999999998</v>
      </c>
      <c r="H268" s="10">
        <v>1523190.36</v>
      </c>
      <c r="I268" s="10">
        <v>21684.140000000003</v>
      </c>
      <c r="J268" s="10">
        <v>1501506.22</v>
      </c>
    </row>
    <row r="269" spans="1:10" x14ac:dyDescent="0.35">
      <c r="A269" s="36">
        <v>2026</v>
      </c>
      <c r="B269" s="35" t="s">
        <v>11</v>
      </c>
      <c r="C269" s="35" t="s">
        <v>66</v>
      </c>
      <c r="D269" s="4" t="s">
        <v>84</v>
      </c>
      <c r="E269" s="10">
        <v>1107800</v>
      </c>
      <c r="F269" s="10">
        <v>81426.11</v>
      </c>
      <c r="G269" s="10">
        <v>115.71</v>
      </c>
      <c r="H269" s="10">
        <v>1026258.18</v>
      </c>
      <c r="I269" s="10">
        <v>156989.18</v>
      </c>
      <c r="J269" s="10">
        <v>869269</v>
      </c>
    </row>
    <row r="270" spans="1:10" x14ac:dyDescent="0.35">
      <c r="A270" s="36">
        <v>2026</v>
      </c>
      <c r="B270" s="35" t="s">
        <v>11</v>
      </c>
      <c r="C270" s="35" t="s">
        <v>66</v>
      </c>
      <c r="D270" s="4" t="s">
        <v>86</v>
      </c>
      <c r="E270" s="10">
        <v>870000</v>
      </c>
      <c r="F270" s="10">
        <v>27810</v>
      </c>
      <c r="H270" s="10">
        <v>842190</v>
      </c>
      <c r="I270" s="10">
        <v>128790</v>
      </c>
      <c r="J270" s="10">
        <v>713400</v>
      </c>
    </row>
    <row r="271" spans="1:10" x14ac:dyDescent="0.35">
      <c r="A271" s="36">
        <v>2026</v>
      </c>
      <c r="B271" s="35" t="s">
        <v>11</v>
      </c>
      <c r="C271" s="35" t="s">
        <v>66</v>
      </c>
      <c r="D271" s="4" t="s">
        <v>75</v>
      </c>
      <c r="E271" s="10">
        <v>851000</v>
      </c>
      <c r="F271" s="10">
        <v>290451.03000000003</v>
      </c>
      <c r="G271" s="10">
        <v>47164.42</v>
      </c>
      <c r="H271" s="10">
        <v>513384.55</v>
      </c>
      <c r="I271" s="10">
        <v>320042.29000000004</v>
      </c>
      <c r="J271" s="10">
        <v>193342.25999999995</v>
      </c>
    </row>
    <row r="272" spans="1:10" x14ac:dyDescent="0.35">
      <c r="A272" s="36">
        <v>2026</v>
      </c>
      <c r="B272" s="35" t="s">
        <v>11</v>
      </c>
      <c r="C272" s="35" t="s">
        <v>66</v>
      </c>
      <c r="D272" s="4" t="s">
        <v>73</v>
      </c>
      <c r="E272" s="10">
        <v>510400</v>
      </c>
      <c r="H272" s="10">
        <v>510400</v>
      </c>
      <c r="I272" s="10">
        <v>91872</v>
      </c>
      <c r="J272" s="10">
        <v>418528</v>
      </c>
    </row>
    <row r="273" spans="1:10" x14ac:dyDescent="0.35">
      <c r="A273" s="36">
        <v>2026</v>
      </c>
      <c r="B273" s="35" t="s">
        <v>11</v>
      </c>
      <c r="C273" s="35" t="s">
        <v>66</v>
      </c>
      <c r="D273" s="4" t="s">
        <v>71</v>
      </c>
      <c r="E273" s="10">
        <v>553900</v>
      </c>
      <c r="F273" s="10">
        <v>43407.31</v>
      </c>
      <c r="G273" s="10">
        <v>46354.33</v>
      </c>
      <c r="H273" s="10">
        <v>464138.36</v>
      </c>
      <c r="I273" s="10">
        <v>451628.26</v>
      </c>
      <c r="J273" s="10">
        <v>12510.099999999977</v>
      </c>
    </row>
    <row r="274" spans="1:10" x14ac:dyDescent="0.35">
      <c r="A274" s="36">
        <v>2026</v>
      </c>
      <c r="B274" s="35" t="s">
        <v>11</v>
      </c>
      <c r="C274" s="35" t="s">
        <v>66</v>
      </c>
      <c r="D274" s="4" t="s">
        <v>79</v>
      </c>
      <c r="E274" s="10">
        <v>419179</v>
      </c>
      <c r="F274" s="10">
        <v>43833.52</v>
      </c>
      <c r="H274" s="10">
        <v>375345.48</v>
      </c>
      <c r="I274" s="10">
        <v>354992.17000000004</v>
      </c>
      <c r="J274" s="10">
        <v>20353.309999999939</v>
      </c>
    </row>
    <row r="275" spans="1:10" x14ac:dyDescent="0.35">
      <c r="A275" s="36">
        <v>2026</v>
      </c>
      <c r="B275" s="35" t="s">
        <v>11</v>
      </c>
      <c r="C275" s="35" t="s">
        <v>66</v>
      </c>
      <c r="D275" s="4" t="s">
        <v>78</v>
      </c>
      <c r="E275" s="10">
        <v>1015000</v>
      </c>
      <c r="F275" s="10">
        <v>497697.14</v>
      </c>
      <c r="G275" s="10">
        <v>243511.07</v>
      </c>
      <c r="H275" s="10">
        <v>273791.78999999998</v>
      </c>
      <c r="I275" s="10">
        <v>272865.15000000002</v>
      </c>
      <c r="J275" s="10">
        <v>926.64000000001397</v>
      </c>
    </row>
    <row r="276" spans="1:10" x14ac:dyDescent="0.35">
      <c r="A276" s="36">
        <v>2026</v>
      </c>
      <c r="B276" s="35" t="s">
        <v>11</v>
      </c>
      <c r="C276" s="35" t="s">
        <v>66</v>
      </c>
      <c r="D276" s="4" t="s">
        <v>72</v>
      </c>
      <c r="E276" s="10">
        <v>553900</v>
      </c>
      <c r="F276" s="10">
        <v>311241.38</v>
      </c>
      <c r="H276" s="10">
        <v>242658.62</v>
      </c>
      <c r="I276" s="10">
        <v>99702</v>
      </c>
      <c r="J276" s="10">
        <v>142956.62</v>
      </c>
    </row>
    <row r="277" spans="1:10" x14ac:dyDescent="0.35">
      <c r="A277" s="36">
        <v>2026</v>
      </c>
      <c r="B277" s="35" t="s">
        <v>11</v>
      </c>
      <c r="C277" s="35" t="s">
        <v>66</v>
      </c>
      <c r="D277" s="4" t="s">
        <v>85</v>
      </c>
      <c r="E277" s="10">
        <v>237800</v>
      </c>
      <c r="F277" s="10">
        <v>41376</v>
      </c>
      <c r="H277" s="10">
        <v>196424</v>
      </c>
      <c r="I277" s="10">
        <v>189257.74</v>
      </c>
      <c r="J277" s="10">
        <v>7166.2600000000093</v>
      </c>
    </row>
    <row r="278" spans="1:10" x14ac:dyDescent="0.35">
      <c r="A278" s="36">
        <v>2026</v>
      </c>
      <c r="B278" s="35" t="s">
        <v>11</v>
      </c>
      <c r="C278" s="35" t="s">
        <v>66</v>
      </c>
      <c r="D278" s="4" t="s">
        <v>90</v>
      </c>
      <c r="E278" s="10">
        <v>194399</v>
      </c>
      <c r="F278" s="10">
        <v>34337.61</v>
      </c>
      <c r="H278" s="10">
        <v>160061.39000000001</v>
      </c>
      <c r="I278" s="10">
        <v>1654.39</v>
      </c>
      <c r="J278" s="10">
        <v>158407</v>
      </c>
    </row>
    <row r="279" spans="1:10" x14ac:dyDescent="0.35">
      <c r="A279" s="36">
        <v>2026</v>
      </c>
      <c r="B279" s="35" t="s">
        <v>11</v>
      </c>
      <c r="C279" s="35" t="s">
        <v>66</v>
      </c>
      <c r="D279" s="4" t="s">
        <v>76</v>
      </c>
      <c r="E279" s="10">
        <v>216170</v>
      </c>
      <c r="F279" s="10">
        <v>78968.149999999994</v>
      </c>
      <c r="H279" s="10">
        <v>137201.85</v>
      </c>
      <c r="I279" s="10">
        <v>188463.01</v>
      </c>
      <c r="J279" s="10">
        <v>-51261.16</v>
      </c>
    </row>
    <row r="280" spans="1:10" x14ac:dyDescent="0.35">
      <c r="A280" s="36">
        <v>2026</v>
      </c>
      <c r="B280" s="35" t="s">
        <v>11</v>
      </c>
      <c r="C280" s="35" t="s">
        <v>66</v>
      </c>
      <c r="D280" s="4" t="s">
        <v>89</v>
      </c>
      <c r="E280" s="10">
        <v>130000</v>
      </c>
      <c r="F280" s="10">
        <v>3699.51</v>
      </c>
      <c r="G280" s="10">
        <v>60144.450000000004</v>
      </c>
      <c r="H280" s="10">
        <v>66156.039999999994</v>
      </c>
      <c r="I280" s="10">
        <v>26388</v>
      </c>
      <c r="J280" s="10">
        <v>39768.040000000008</v>
      </c>
    </row>
    <row r="281" spans="1:10" x14ac:dyDescent="0.35">
      <c r="A281" s="36">
        <v>2026</v>
      </c>
      <c r="B281" s="35" t="s">
        <v>11</v>
      </c>
      <c r="C281" s="35" t="s">
        <v>66</v>
      </c>
      <c r="D281" s="4" t="s">
        <v>67</v>
      </c>
      <c r="E281" s="10">
        <v>416006.97</v>
      </c>
      <c r="F281" s="10">
        <v>362006.97</v>
      </c>
      <c r="H281" s="10">
        <v>54000</v>
      </c>
      <c r="I281" s="10">
        <v>74520</v>
      </c>
      <c r="J281" s="10">
        <v>-20520</v>
      </c>
    </row>
    <row r="282" spans="1:10" x14ac:dyDescent="0.35">
      <c r="A282" s="36">
        <v>2026</v>
      </c>
      <c r="B282" s="35" t="s">
        <v>11</v>
      </c>
      <c r="C282" s="35" t="s">
        <v>66</v>
      </c>
      <c r="D282" s="4" t="s">
        <v>70</v>
      </c>
      <c r="E282" s="10">
        <v>22042.3</v>
      </c>
      <c r="F282" s="10">
        <v>17158.3</v>
      </c>
      <c r="H282" s="10">
        <v>4884</v>
      </c>
      <c r="I282" s="10">
        <v>5217.9599999999991</v>
      </c>
      <c r="J282" s="10">
        <v>-333.95999999999913</v>
      </c>
    </row>
    <row r="283" spans="1:10" x14ac:dyDescent="0.35">
      <c r="A283" s="36">
        <v>2026</v>
      </c>
      <c r="B283" s="35" t="s">
        <v>11</v>
      </c>
      <c r="C283" s="35" t="s">
        <v>66</v>
      </c>
      <c r="D283" s="4" t="s">
        <v>80</v>
      </c>
      <c r="E283" s="10">
        <v>213.09</v>
      </c>
      <c r="H283" s="10">
        <v>213.09</v>
      </c>
      <c r="I283" s="10">
        <v>7918.43</v>
      </c>
      <c r="J283" s="10">
        <v>-7705.34</v>
      </c>
    </row>
    <row r="284" spans="1:10" x14ac:dyDescent="0.35">
      <c r="A284" s="36">
        <v>2026</v>
      </c>
      <c r="B284" s="35" t="s">
        <v>11</v>
      </c>
      <c r="C284" s="35" t="s">
        <v>66</v>
      </c>
      <c r="D284" s="4" t="s">
        <v>77</v>
      </c>
      <c r="E284" s="10">
        <v>903.13</v>
      </c>
      <c r="F284" s="10">
        <v>903.13</v>
      </c>
      <c r="H284" s="10">
        <v>0</v>
      </c>
      <c r="I284" s="10">
        <v>49966.439999999995</v>
      </c>
      <c r="J284" s="10">
        <v>-49966.439999999995</v>
      </c>
    </row>
    <row r="285" spans="1:10" x14ac:dyDescent="0.35">
      <c r="A285" s="36">
        <v>2026</v>
      </c>
      <c r="B285" s="35" t="s">
        <v>11</v>
      </c>
      <c r="C285" s="35" t="s">
        <v>66</v>
      </c>
      <c r="D285" s="4" t="s">
        <v>81</v>
      </c>
      <c r="E285" s="10">
        <v>1601.4</v>
      </c>
      <c r="F285" s="10">
        <v>1601.4</v>
      </c>
      <c r="H285" s="10">
        <v>0</v>
      </c>
      <c r="I285" s="10">
        <v>992.65</v>
      </c>
      <c r="J285" s="10">
        <v>-992.65</v>
      </c>
    </row>
    <row r="286" spans="1:10" x14ac:dyDescent="0.35">
      <c r="A286" s="36">
        <v>2026</v>
      </c>
      <c r="B286" s="35" t="s">
        <v>11</v>
      </c>
      <c r="C286" s="35" t="s">
        <v>66</v>
      </c>
      <c r="D286" s="4" t="s">
        <v>74</v>
      </c>
      <c r="E286" s="10">
        <v>0</v>
      </c>
      <c r="H286" s="10">
        <v>0</v>
      </c>
      <c r="J286" s="10">
        <v>0</v>
      </c>
    </row>
    <row r="287" spans="1:10" x14ac:dyDescent="0.35">
      <c r="A287" s="36">
        <v>2026</v>
      </c>
      <c r="B287" s="35" t="s">
        <v>11</v>
      </c>
      <c r="C287" s="35" t="s">
        <v>66</v>
      </c>
      <c r="D287" s="4" t="s">
        <v>91</v>
      </c>
      <c r="I287" s="10">
        <v>43470.279999999992</v>
      </c>
      <c r="J287" s="10">
        <v>-43470.279999999992</v>
      </c>
    </row>
    <row r="288" spans="1:10" x14ac:dyDescent="0.35">
      <c r="A288" s="36">
        <v>2026</v>
      </c>
      <c r="B288" s="35" t="s">
        <v>11</v>
      </c>
      <c r="C288" s="35" t="s">
        <v>66</v>
      </c>
      <c r="D288" s="4" t="s">
        <v>87</v>
      </c>
      <c r="E288" s="10">
        <v>0</v>
      </c>
      <c r="F288" s="10">
        <v>450</v>
      </c>
      <c r="H288" s="10">
        <v>-450</v>
      </c>
      <c r="I288" s="10">
        <v>25201.360000000001</v>
      </c>
      <c r="J288" s="10">
        <v>-25651.360000000001</v>
      </c>
    </row>
    <row r="289" spans="1:10" x14ac:dyDescent="0.35">
      <c r="A289" s="36">
        <v>2026</v>
      </c>
      <c r="B289" s="35" t="s">
        <v>11</v>
      </c>
      <c r="C289" s="35" t="s">
        <v>66</v>
      </c>
      <c r="D289" s="4" t="s">
        <v>88</v>
      </c>
      <c r="E289" s="10">
        <v>678825.59990000003</v>
      </c>
      <c r="F289" s="10">
        <v>707989.63000000012</v>
      </c>
      <c r="G289" s="10">
        <v>1626.78</v>
      </c>
      <c r="H289" s="10">
        <v>-30790.81</v>
      </c>
      <c r="I289" s="10">
        <v>61016.920000000006</v>
      </c>
      <c r="J289" s="10">
        <v>-91807.730100000015</v>
      </c>
    </row>
    <row r="290" spans="1:10" x14ac:dyDescent="0.35">
      <c r="A290" s="36">
        <v>2026</v>
      </c>
      <c r="B290" s="35" t="s">
        <v>11</v>
      </c>
      <c r="C290" s="35" t="s">
        <v>66</v>
      </c>
      <c r="D290" s="4" t="s">
        <v>83</v>
      </c>
      <c r="E290" s="10">
        <v>622600.88</v>
      </c>
      <c r="F290" s="10">
        <v>705446.82000000007</v>
      </c>
      <c r="H290" s="10">
        <v>-82845.94</v>
      </c>
      <c r="I290" s="10">
        <v>26499.49</v>
      </c>
      <c r="J290" s="10">
        <v>-109345.42999999995</v>
      </c>
    </row>
    <row r="291" spans="1:10" x14ac:dyDescent="0.35">
      <c r="A291" s="36">
        <v>2026</v>
      </c>
      <c r="B291" s="35" t="s">
        <v>11</v>
      </c>
      <c r="C291" s="35" t="s">
        <v>29</v>
      </c>
      <c r="D291" s="5" t="s">
        <v>10</v>
      </c>
      <c r="E291" s="9">
        <v>18911822.9201</v>
      </c>
      <c r="F291" s="9">
        <v>7838539.7199999997</v>
      </c>
      <c r="G291" s="9">
        <v>796262.98999999976</v>
      </c>
      <c r="H291" s="9">
        <v>10277020.210000001</v>
      </c>
      <c r="I291" s="9">
        <v>4703588.209999999</v>
      </c>
      <c r="J291" s="9">
        <v>5573432.0001000017</v>
      </c>
    </row>
    <row r="292" spans="1:10" x14ac:dyDescent="0.35">
      <c r="A292" s="36">
        <v>2026</v>
      </c>
      <c r="B292" s="35" t="s">
        <v>11</v>
      </c>
      <c r="C292" s="35" t="s">
        <v>29</v>
      </c>
      <c r="D292" s="4" t="s">
        <v>30</v>
      </c>
      <c r="E292" s="10">
        <v>3182000.1</v>
      </c>
      <c r="G292" s="10">
        <v>189722.47</v>
      </c>
      <c r="H292" s="10">
        <v>2992277.63</v>
      </c>
      <c r="I292" s="10">
        <v>183569.53</v>
      </c>
      <c r="J292" s="10">
        <v>2808708.1</v>
      </c>
    </row>
    <row r="293" spans="1:10" x14ac:dyDescent="0.35">
      <c r="A293" s="36">
        <v>2026</v>
      </c>
      <c r="B293" s="35" t="s">
        <v>11</v>
      </c>
      <c r="C293" s="35" t="s">
        <v>29</v>
      </c>
      <c r="D293" s="4" t="s">
        <v>48</v>
      </c>
      <c r="E293" s="10">
        <v>2215599.83</v>
      </c>
      <c r="F293" s="10">
        <v>192993.23</v>
      </c>
      <c r="G293" s="10">
        <v>162709.21999999997</v>
      </c>
      <c r="H293" s="10">
        <v>1859897.38</v>
      </c>
      <c r="I293" s="10">
        <v>1786533.5699999996</v>
      </c>
      <c r="J293" s="10">
        <v>73363.810000000522</v>
      </c>
    </row>
    <row r="294" spans="1:10" x14ac:dyDescent="0.35">
      <c r="A294" s="36">
        <v>2026</v>
      </c>
      <c r="B294" s="35" t="s">
        <v>11</v>
      </c>
      <c r="C294" s="35" t="s">
        <v>29</v>
      </c>
      <c r="D294" s="4" t="s">
        <v>60</v>
      </c>
      <c r="E294" s="10">
        <v>635207.94999999995</v>
      </c>
      <c r="H294" s="10">
        <v>635207.94999999995</v>
      </c>
      <c r="I294" s="10">
        <v>484890.83999999997</v>
      </c>
      <c r="J294" s="10">
        <v>150317.10999999999</v>
      </c>
    </row>
    <row r="295" spans="1:10" x14ac:dyDescent="0.35">
      <c r="A295" s="36">
        <v>2026</v>
      </c>
      <c r="B295" s="35" t="s">
        <v>11</v>
      </c>
      <c r="C295" s="35" t="s">
        <v>29</v>
      </c>
      <c r="D295" s="4" t="s">
        <v>42</v>
      </c>
      <c r="E295" s="10">
        <v>556647.12</v>
      </c>
      <c r="F295" s="10">
        <v>8937.98</v>
      </c>
      <c r="H295" s="10">
        <v>547709.14</v>
      </c>
      <c r="I295" s="10">
        <v>17049.879999999997</v>
      </c>
      <c r="J295" s="10">
        <v>530659.26</v>
      </c>
    </row>
    <row r="296" spans="1:10" x14ac:dyDescent="0.35">
      <c r="A296" s="36">
        <v>2026</v>
      </c>
      <c r="B296" s="35" t="s">
        <v>11</v>
      </c>
      <c r="C296" s="35" t="s">
        <v>29</v>
      </c>
      <c r="D296" s="4" t="s">
        <v>44</v>
      </c>
      <c r="E296" s="10">
        <v>952404.65</v>
      </c>
      <c r="F296" s="10">
        <v>372456.18999999994</v>
      </c>
      <c r="G296" s="10">
        <v>43554.16</v>
      </c>
      <c r="H296" s="10">
        <v>536394.30000000005</v>
      </c>
      <c r="I296" s="10">
        <v>277353.26</v>
      </c>
      <c r="J296" s="10">
        <v>259041.04000000004</v>
      </c>
    </row>
    <row r="297" spans="1:10" x14ac:dyDescent="0.35">
      <c r="A297" s="36">
        <v>2026</v>
      </c>
      <c r="B297" s="35" t="s">
        <v>11</v>
      </c>
      <c r="C297" s="35" t="s">
        <v>29</v>
      </c>
      <c r="D297" s="4" t="s">
        <v>58</v>
      </c>
      <c r="E297" s="10">
        <v>532697.91999999993</v>
      </c>
      <c r="F297" s="10">
        <v>1004.9200000000001</v>
      </c>
      <c r="G297" s="10">
        <v>23328.2</v>
      </c>
      <c r="H297" s="10">
        <v>508364.79999999999</v>
      </c>
      <c r="I297" s="10">
        <v>307173.92</v>
      </c>
      <c r="J297" s="10">
        <v>201190.87999999995</v>
      </c>
    </row>
    <row r="298" spans="1:10" x14ac:dyDescent="0.35">
      <c r="A298" s="36">
        <v>2026</v>
      </c>
      <c r="B298" s="35" t="s">
        <v>11</v>
      </c>
      <c r="C298" s="35" t="s">
        <v>29</v>
      </c>
      <c r="D298" s="4" t="s">
        <v>50</v>
      </c>
      <c r="E298" s="10">
        <v>527800</v>
      </c>
      <c r="F298" s="10">
        <v>31546.190000000002</v>
      </c>
      <c r="H298" s="10">
        <v>496253.81</v>
      </c>
      <c r="I298" s="10">
        <v>286234.44</v>
      </c>
      <c r="J298" s="10">
        <v>210019.37</v>
      </c>
    </row>
    <row r="299" spans="1:10" x14ac:dyDescent="0.35">
      <c r="A299" s="36">
        <v>2026</v>
      </c>
      <c r="B299" s="35" t="s">
        <v>11</v>
      </c>
      <c r="C299" s="35" t="s">
        <v>29</v>
      </c>
      <c r="D299" s="4" t="s">
        <v>51</v>
      </c>
      <c r="E299" s="10">
        <v>527800</v>
      </c>
      <c r="F299" s="10">
        <v>11972.6</v>
      </c>
      <c r="G299" s="10">
        <v>103050.51</v>
      </c>
      <c r="H299" s="10">
        <v>412776.89</v>
      </c>
      <c r="I299" s="10">
        <v>183241.11999999997</v>
      </c>
      <c r="J299" s="10">
        <v>229535.77000000005</v>
      </c>
    </row>
    <row r="300" spans="1:10" x14ac:dyDescent="0.35">
      <c r="A300" s="36">
        <v>2026</v>
      </c>
      <c r="B300" s="35" t="s">
        <v>11</v>
      </c>
      <c r="C300" s="35" t="s">
        <v>29</v>
      </c>
      <c r="D300" s="4" t="s">
        <v>52</v>
      </c>
      <c r="E300" s="10">
        <v>391500</v>
      </c>
      <c r="H300" s="10">
        <v>391500</v>
      </c>
      <c r="J300" s="10">
        <v>391500</v>
      </c>
    </row>
    <row r="301" spans="1:10" x14ac:dyDescent="0.35">
      <c r="A301" s="36">
        <v>2026</v>
      </c>
      <c r="B301" s="35" t="s">
        <v>11</v>
      </c>
      <c r="C301" s="35" t="s">
        <v>29</v>
      </c>
      <c r="D301" s="4" t="s">
        <v>41</v>
      </c>
      <c r="E301" s="10">
        <v>2602276.7801000001</v>
      </c>
      <c r="F301" s="10">
        <v>2066052.1</v>
      </c>
      <c r="G301" s="10">
        <v>163235.75999999998</v>
      </c>
      <c r="H301" s="10">
        <v>372988.92</v>
      </c>
      <c r="I301" s="10">
        <v>314761.71999999997</v>
      </c>
      <c r="J301" s="10">
        <v>58227.200100000249</v>
      </c>
    </row>
    <row r="302" spans="1:10" x14ac:dyDescent="0.35">
      <c r="A302" s="36">
        <v>2026</v>
      </c>
      <c r="B302" s="35" t="s">
        <v>11</v>
      </c>
      <c r="C302" s="35" t="s">
        <v>29</v>
      </c>
      <c r="D302" s="4" t="s">
        <v>40</v>
      </c>
      <c r="E302" s="10">
        <v>393400</v>
      </c>
      <c r="F302" s="10">
        <v>43664.78</v>
      </c>
      <c r="H302" s="10">
        <v>349735.22</v>
      </c>
      <c r="I302" s="10">
        <v>187153.48</v>
      </c>
      <c r="J302" s="10">
        <v>162581.73999999996</v>
      </c>
    </row>
    <row r="303" spans="1:10" x14ac:dyDescent="0.35">
      <c r="A303" s="36">
        <v>2026</v>
      </c>
      <c r="B303" s="35" t="s">
        <v>11</v>
      </c>
      <c r="C303" s="35" t="s">
        <v>29</v>
      </c>
      <c r="D303" s="4" t="s">
        <v>55</v>
      </c>
      <c r="E303" s="10">
        <v>258891</v>
      </c>
      <c r="F303" s="10">
        <v>26478</v>
      </c>
      <c r="H303" s="10">
        <v>232413</v>
      </c>
      <c r="I303" s="10">
        <v>20122</v>
      </c>
      <c r="J303" s="10">
        <v>212291</v>
      </c>
    </row>
    <row r="304" spans="1:10" x14ac:dyDescent="0.35">
      <c r="A304" s="36">
        <v>2026</v>
      </c>
      <c r="B304" s="35" t="s">
        <v>11</v>
      </c>
      <c r="C304" s="35" t="s">
        <v>29</v>
      </c>
      <c r="D304" s="4" t="s">
        <v>32</v>
      </c>
      <c r="E304" s="10">
        <v>168606</v>
      </c>
      <c r="F304" s="10">
        <v>27810</v>
      </c>
      <c r="H304" s="10">
        <v>140796</v>
      </c>
      <c r="I304" s="10">
        <v>140796</v>
      </c>
      <c r="J304" s="10">
        <v>0</v>
      </c>
    </row>
    <row r="305" spans="1:10" x14ac:dyDescent="0.35">
      <c r="A305" s="36">
        <v>2026</v>
      </c>
      <c r="B305" s="35" t="s">
        <v>11</v>
      </c>
      <c r="C305" s="35" t="s">
        <v>29</v>
      </c>
      <c r="D305" s="4" t="s">
        <v>47</v>
      </c>
      <c r="E305" s="10">
        <v>130000</v>
      </c>
      <c r="H305" s="10">
        <v>130000</v>
      </c>
      <c r="J305" s="10">
        <v>130000</v>
      </c>
    </row>
    <row r="306" spans="1:10" x14ac:dyDescent="0.35">
      <c r="A306" s="36">
        <v>2026</v>
      </c>
      <c r="B306" s="35" t="s">
        <v>11</v>
      </c>
      <c r="C306" s="35" t="s">
        <v>29</v>
      </c>
      <c r="D306" s="4" t="s">
        <v>54</v>
      </c>
      <c r="E306" s="10">
        <v>116000</v>
      </c>
      <c r="H306" s="10">
        <v>116000</v>
      </c>
      <c r="J306" s="10">
        <v>116000</v>
      </c>
    </row>
    <row r="307" spans="1:10" x14ac:dyDescent="0.35">
      <c r="A307" s="36">
        <v>2026</v>
      </c>
      <c r="B307" s="35" t="s">
        <v>11</v>
      </c>
      <c r="C307" s="35" t="s">
        <v>29</v>
      </c>
      <c r="D307" s="4" t="s">
        <v>56</v>
      </c>
      <c r="E307" s="10">
        <v>116000</v>
      </c>
      <c r="H307" s="10">
        <v>116000</v>
      </c>
      <c r="I307" s="10">
        <v>40565.879999999997</v>
      </c>
      <c r="J307" s="10">
        <v>75434.12</v>
      </c>
    </row>
    <row r="308" spans="1:10" x14ac:dyDescent="0.35">
      <c r="A308" s="36">
        <v>2026</v>
      </c>
      <c r="B308" s="35" t="s">
        <v>11</v>
      </c>
      <c r="C308" s="35" t="s">
        <v>29</v>
      </c>
      <c r="D308" s="4" t="s">
        <v>46</v>
      </c>
      <c r="E308" s="10">
        <v>525700</v>
      </c>
      <c r="F308" s="10">
        <v>393745.02</v>
      </c>
      <c r="G308" s="10">
        <v>16536</v>
      </c>
      <c r="H308" s="10">
        <v>115418.98</v>
      </c>
      <c r="I308" s="10">
        <v>107878.98000000001</v>
      </c>
      <c r="J308" s="10">
        <v>7539.9999999999709</v>
      </c>
    </row>
    <row r="309" spans="1:10" x14ac:dyDescent="0.35">
      <c r="A309" s="36">
        <v>2026</v>
      </c>
      <c r="B309" s="35" t="s">
        <v>11</v>
      </c>
      <c r="C309" s="35" t="s">
        <v>29</v>
      </c>
      <c r="D309" s="4" t="s">
        <v>39</v>
      </c>
      <c r="E309" s="10">
        <v>1017919.6200000001</v>
      </c>
      <c r="F309" s="10">
        <v>907128.14000000025</v>
      </c>
      <c r="H309" s="10">
        <v>110791.48</v>
      </c>
      <c r="I309" s="10">
        <v>75879.249999999985</v>
      </c>
      <c r="J309" s="10">
        <v>34912.230000000112</v>
      </c>
    </row>
    <row r="310" spans="1:10" x14ac:dyDescent="0.35">
      <c r="A310" s="36">
        <v>2026</v>
      </c>
      <c r="B310" s="35" t="s">
        <v>11</v>
      </c>
      <c r="C310" s="35" t="s">
        <v>29</v>
      </c>
      <c r="D310" s="4" t="s">
        <v>53</v>
      </c>
      <c r="E310" s="10">
        <v>524900</v>
      </c>
      <c r="F310" s="10">
        <v>423526.87</v>
      </c>
      <c r="H310" s="10">
        <v>101373.13</v>
      </c>
      <c r="I310" s="10">
        <v>94482</v>
      </c>
      <c r="J310" s="10">
        <v>6891.1300000000047</v>
      </c>
    </row>
    <row r="311" spans="1:10" x14ac:dyDescent="0.35">
      <c r="A311" s="36">
        <v>2026</v>
      </c>
      <c r="B311" s="35" t="s">
        <v>11</v>
      </c>
      <c r="C311" s="35" t="s">
        <v>29</v>
      </c>
      <c r="D311" s="4" t="s">
        <v>59</v>
      </c>
      <c r="E311" s="10">
        <v>96466.010000000009</v>
      </c>
      <c r="F311" s="10">
        <v>53177.010000000009</v>
      </c>
      <c r="H311" s="10">
        <v>43289</v>
      </c>
      <c r="I311" s="10">
        <v>1225.93</v>
      </c>
      <c r="J311" s="10">
        <v>42063.070000000007</v>
      </c>
    </row>
    <row r="312" spans="1:10" x14ac:dyDescent="0.35">
      <c r="A312" s="36">
        <v>2026</v>
      </c>
      <c r="B312" s="35" t="s">
        <v>11</v>
      </c>
      <c r="C312" s="35" t="s">
        <v>29</v>
      </c>
      <c r="D312" s="4" t="s">
        <v>45</v>
      </c>
      <c r="E312" s="10">
        <v>3118761.96</v>
      </c>
      <c r="F312" s="10">
        <v>2988387.6400000006</v>
      </c>
      <c r="G312" s="10">
        <v>94126.670000000013</v>
      </c>
      <c r="H312" s="10">
        <v>36247.65</v>
      </c>
      <c r="I312" s="10">
        <v>39583.43</v>
      </c>
      <c r="J312" s="10">
        <v>-3335.7800000000934</v>
      </c>
    </row>
    <row r="313" spans="1:10" x14ac:dyDescent="0.35">
      <c r="A313" s="36">
        <v>2026</v>
      </c>
      <c r="B313" s="35" t="s">
        <v>11</v>
      </c>
      <c r="C313" s="35" t="s">
        <v>29</v>
      </c>
      <c r="D313" s="4" t="s">
        <v>57</v>
      </c>
      <c r="E313" s="10">
        <v>186990.14999999997</v>
      </c>
      <c r="F313" s="10">
        <v>161795.02999999997</v>
      </c>
      <c r="H313" s="10">
        <v>25195.119999999999</v>
      </c>
      <c r="I313" s="10">
        <v>22489.43</v>
      </c>
      <c r="J313" s="10">
        <v>2705.6899999999659</v>
      </c>
    </row>
    <row r="314" spans="1:10" x14ac:dyDescent="0.35">
      <c r="A314" s="36">
        <v>2026</v>
      </c>
      <c r="B314" s="35" t="s">
        <v>11</v>
      </c>
      <c r="C314" s="35" t="s">
        <v>29</v>
      </c>
      <c r="D314" s="4" t="s">
        <v>49</v>
      </c>
      <c r="E314" s="10">
        <v>29273.649999999998</v>
      </c>
      <c r="F314" s="10">
        <v>24480</v>
      </c>
      <c r="H314" s="10">
        <v>4793.6499999999996</v>
      </c>
      <c r="I314" s="10">
        <v>4793.6000000000004</v>
      </c>
      <c r="J314" s="10">
        <v>4.9999999997453415E-2</v>
      </c>
    </row>
    <row r="315" spans="1:10" x14ac:dyDescent="0.35">
      <c r="A315" s="36">
        <v>2026</v>
      </c>
      <c r="B315" s="35" t="s">
        <v>11</v>
      </c>
      <c r="C315" s="35" t="s">
        <v>29</v>
      </c>
      <c r="D315" s="4" t="s">
        <v>43</v>
      </c>
      <c r="E315" s="10">
        <v>90861.180000000008</v>
      </c>
      <c r="F315" s="10">
        <v>89265.02</v>
      </c>
      <c r="H315" s="10">
        <v>1596.16</v>
      </c>
      <c r="I315" s="10">
        <v>558.15000000000009</v>
      </c>
      <c r="J315" s="10">
        <v>1038.0100000000034</v>
      </c>
    </row>
    <row r="316" spans="1:10" x14ac:dyDescent="0.35">
      <c r="A316" s="36">
        <v>2026</v>
      </c>
      <c r="B316" s="35" t="s">
        <v>11</v>
      </c>
      <c r="C316" s="35" t="s">
        <v>29</v>
      </c>
      <c r="D316" s="4" t="s">
        <v>35</v>
      </c>
      <c r="E316" s="10">
        <v>0</v>
      </c>
      <c r="H316" s="10">
        <v>0</v>
      </c>
      <c r="J316" s="10">
        <v>0</v>
      </c>
    </row>
    <row r="317" spans="1:10" x14ac:dyDescent="0.35">
      <c r="A317" s="36">
        <v>2026</v>
      </c>
      <c r="B317" s="35" t="s">
        <v>11</v>
      </c>
      <c r="C317" s="35" t="s">
        <v>29</v>
      </c>
      <c r="D317" s="4" t="s">
        <v>36</v>
      </c>
      <c r="E317" s="10">
        <v>0</v>
      </c>
      <c r="H317" s="10">
        <v>0</v>
      </c>
      <c r="J317" s="10">
        <v>0</v>
      </c>
    </row>
    <row r="318" spans="1:10" x14ac:dyDescent="0.35">
      <c r="A318" s="36">
        <v>2026</v>
      </c>
      <c r="B318" s="35" t="s">
        <v>11</v>
      </c>
      <c r="C318" s="35" t="s">
        <v>29</v>
      </c>
      <c r="D318" s="4" t="s">
        <v>37</v>
      </c>
      <c r="E318" s="10">
        <v>0</v>
      </c>
      <c r="H318" s="10">
        <v>0</v>
      </c>
      <c r="J318" s="10">
        <v>0</v>
      </c>
    </row>
    <row r="319" spans="1:10" x14ac:dyDescent="0.35">
      <c r="A319" s="36">
        <v>2026</v>
      </c>
      <c r="B319" s="35" t="s">
        <v>11</v>
      </c>
      <c r="C319" s="35" t="s">
        <v>29</v>
      </c>
      <c r="D319" s="4" t="s">
        <v>31</v>
      </c>
      <c r="E319" s="10">
        <v>0</v>
      </c>
      <c r="H319" s="10">
        <v>0</v>
      </c>
      <c r="J319" s="10">
        <v>0</v>
      </c>
    </row>
    <row r="320" spans="1:10" x14ac:dyDescent="0.35">
      <c r="A320" s="36">
        <v>2026</v>
      </c>
      <c r="B320" s="35" t="s">
        <v>11</v>
      </c>
      <c r="C320" s="35" t="s">
        <v>29</v>
      </c>
      <c r="D320" s="4" t="s">
        <v>38</v>
      </c>
      <c r="E320" s="10">
        <v>0</v>
      </c>
      <c r="H320" s="10">
        <v>0</v>
      </c>
      <c r="J320" s="10">
        <v>0</v>
      </c>
    </row>
    <row r="321" spans="1:10" x14ac:dyDescent="0.35">
      <c r="A321" s="36">
        <v>2026</v>
      </c>
      <c r="B321" s="35" t="s">
        <v>11</v>
      </c>
      <c r="C321" s="35" t="s">
        <v>29</v>
      </c>
      <c r="D321" s="4" t="s">
        <v>34</v>
      </c>
      <c r="E321" s="10">
        <v>0</v>
      </c>
      <c r="H321" s="10">
        <v>0</v>
      </c>
      <c r="J321" s="10">
        <v>0</v>
      </c>
    </row>
    <row r="322" spans="1:10" x14ac:dyDescent="0.35">
      <c r="A322" s="36">
        <v>2026</v>
      </c>
      <c r="B322" s="35" t="s">
        <v>11</v>
      </c>
      <c r="C322" s="35" t="s">
        <v>29</v>
      </c>
      <c r="D322" s="4" t="s">
        <v>33</v>
      </c>
      <c r="E322" s="10">
        <v>14119</v>
      </c>
      <c r="F322" s="10">
        <v>14119</v>
      </c>
      <c r="H322" s="10">
        <v>0</v>
      </c>
      <c r="J322" s="10">
        <v>0</v>
      </c>
    </row>
    <row r="323" spans="1:10" x14ac:dyDescent="0.35">
      <c r="A323" s="36">
        <v>2026</v>
      </c>
      <c r="B323" s="35" t="s">
        <v>11</v>
      </c>
      <c r="C323" s="35" t="s">
        <v>29</v>
      </c>
      <c r="D323" s="4" t="s">
        <v>61</v>
      </c>
      <c r="I323" s="10">
        <v>0.8</v>
      </c>
      <c r="J323" s="10">
        <v>-0.8</v>
      </c>
    </row>
    <row r="324" spans="1:10" x14ac:dyDescent="0.35">
      <c r="A324" s="36">
        <v>2026</v>
      </c>
      <c r="B324" s="35" t="s">
        <v>11</v>
      </c>
      <c r="C324" s="35" t="s">
        <v>29</v>
      </c>
      <c r="D324" s="4" t="s">
        <v>62</v>
      </c>
      <c r="I324" s="10">
        <v>125960.50999999998</v>
      </c>
      <c r="J324" s="10">
        <v>-125960.50999999998</v>
      </c>
    </row>
    <row r="325" spans="1:10" x14ac:dyDescent="0.35">
      <c r="A325" s="36">
        <v>2026</v>
      </c>
      <c r="B325" s="35" t="s">
        <v>11</v>
      </c>
      <c r="C325" s="35" t="s">
        <v>29</v>
      </c>
      <c r="D325" s="4" t="s">
        <v>63</v>
      </c>
      <c r="I325" s="10">
        <v>2.5</v>
      </c>
      <c r="J325" s="10">
        <v>-2.5</v>
      </c>
    </row>
    <row r="326" spans="1:10" x14ac:dyDescent="0.35">
      <c r="A326" s="36">
        <v>2026</v>
      </c>
      <c r="B326" s="35" t="s">
        <v>11</v>
      </c>
      <c r="C326" s="35" t="s">
        <v>29</v>
      </c>
      <c r="D326" s="4" t="s">
        <v>64</v>
      </c>
      <c r="I326" s="10">
        <v>955.23</v>
      </c>
      <c r="J326" s="10">
        <v>-955.23</v>
      </c>
    </row>
    <row r="327" spans="1:10" x14ac:dyDescent="0.35">
      <c r="A327" s="36">
        <v>2026</v>
      </c>
      <c r="B327" s="35" t="s">
        <v>11</v>
      </c>
      <c r="C327" s="35" t="s">
        <v>29</v>
      </c>
      <c r="D327" s="4" t="s">
        <v>65</v>
      </c>
      <c r="I327" s="10">
        <v>332.76000000000005</v>
      </c>
      <c r="J327" s="10">
        <v>-332.76000000000005</v>
      </c>
    </row>
    <row r="328" spans="1:10" x14ac:dyDescent="0.35">
      <c r="A328" s="36">
        <v>2026</v>
      </c>
      <c r="B328" s="35" t="s">
        <v>11</v>
      </c>
      <c r="C328" s="35" t="s">
        <v>92</v>
      </c>
      <c r="D328" s="5" t="s">
        <v>10</v>
      </c>
      <c r="E328" s="9">
        <v>15010424.620099999</v>
      </c>
      <c r="F328" s="9">
        <v>5481152.8000000007</v>
      </c>
      <c r="G328" s="9">
        <v>126505.05999999998</v>
      </c>
      <c r="H328" s="9">
        <v>9402766.7599999998</v>
      </c>
      <c r="I328" s="9">
        <v>3452138.4400000004</v>
      </c>
      <c r="J328" s="9">
        <v>5950628.3200999992</v>
      </c>
    </row>
    <row r="329" spans="1:10" x14ac:dyDescent="0.35">
      <c r="A329" s="36">
        <v>2026</v>
      </c>
      <c r="B329" s="35" t="s">
        <v>11</v>
      </c>
      <c r="C329" s="35" t="s">
        <v>92</v>
      </c>
      <c r="D329" s="4" t="s">
        <v>111</v>
      </c>
      <c r="E329" s="10">
        <v>3657282</v>
      </c>
      <c r="F329" s="10">
        <v>126007.48</v>
      </c>
      <c r="G329" s="10">
        <v>4872.6400000000003</v>
      </c>
      <c r="H329" s="10">
        <v>3526401.88</v>
      </c>
      <c r="I329" s="10">
        <v>803166.04999999981</v>
      </c>
      <c r="J329" s="10">
        <v>2723235.83</v>
      </c>
    </row>
    <row r="330" spans="1:10" x14ac:dyDescent="0.35">
      <c r="A330" s="36">
        <v>2026</v>
      </c>
      <c r="B330" s="35" t="s">
        <v>11</v>
      </c>
      <c r="C330" s="35" t="s">
        <v>92</v>
      </c>
      <c r="D330" s="4" t="s">
        <v>106</v>
      </c>
      <c r="E330" s="10">
        <v>2346697.12</v>
      </c>
      <c r="F330" s="10">
        <v>186517.02</v>
      </c>
      <c r="G330" s="10">
        <v>4084.93</v>
      </c>
      <c r="H330" s="10">
        <v>2156095.17</v>
      </c>
      <c r="I330" s="10">
        <v>748465.34</v>
      </c>
      <c r="J330" s="10">
        <v>1407629.83</v>
      </c>
    </row>
    <row r="331" spans="1:10" x14ac:dyDescent="0.35">
      <c r="A331" s="36">
        <v>2026</v>
      </c>
      <c r="B331" s="35" t="s">
        <v>11</v>
      </c>
      <c r="C331" s="35" t="s">
        <v>92</v>
      </c>
      <c r="D331" s="4" t="s">
        <v>104</v>
      </c>
      <c r="E331" s="10">
        <v>4730732.2799999993</v>
      </c>
      <c r="F331" s="10">
        <v>3673384.2300000009</v>
      </c>
      <c r="G331" s="10">
        <v>31743.599999999999</v>
      </c>
      <c r="H331" s="10">
        <v>1025604.45</v>
      </c>
      <c r="I331" s="10">
        <v>317572.35000000003</v>
      </c>
      <c r="J331" s="10">
        <v>708032.09999999916</v>
      </c>
    </row>
    <row r="332" spans="1:10" x14ac:dyDescent="0.35">
      <c r="A332" s="36">
        <v>2026</v>
      </c>
      <c r="B332" s="35" t="s">
        <v>11</v>
      </c>
      <c r="C332" s="35" t="s">
        <v>92</v>
      </c>
      <c r="D332" s="4" t="s">
        <v>109</v>
      </c>
      <c r="E332" s="10">
        <v>593534</v>
      </c>
      <c r="H332" s="10">
        <v>593534</v>
      </c>
      <c r="I332" s="10">
        <v>82440</v>
      </c>
      <c r="J332" s="10">
        <v>511094</v>
      </c>
    </row>
    <row r="333" spans="1:10" x14ac:dyDescent="0.35">
      <c r="A333" s="36">
        <v>2026</v>
      </c>
      <c r="B333" s="35" t="s">
        <v>11</v>
      </c>
      <c r="C333" s="35" t="s">
        <v>92</v>
      </c>
      <c r="D333" s="4" t="s">
        <v>99</v>
      </c>
      <c r="E333" s="10">
        <v>515682.9999</v>
      </c>
      <c r="H333" s="10">
        <v>515683</v>
      </c>
      <c r="I333" s="10">
        <v>295041.35000000003</v>
      </c>
      <c r="J333" s="10">
        <v>220641.64989999996</v>
      </c>
    </row>
    <row r="334" spans="1:10" x14ac:dyDescent="0.35">
      <c r="A334" s="36">
        <v>2026</v>
      </c>
      <c r="B334" s="35" t="s">
        <v>11</v>
      </c>
      <c r="C334" s="35" t="s">
        <v>92</v>
      </c>
      <c r="D334" s="4" t="s">
        <v>103</v>
      </c>
      <c r="E334" s="10">
        <v>1153062.94</v>
      </c>
      <c r="F334" s="10">
        <v>678547.86</v>
      </c>
      <c r="H334" s="10">
        <v>474515.08</v>
      </c>
      <c r="I334" s="10">
        <v>53433.130000000005</v>
      </c>
      <c r="J334" s="10">
        <v>421081.94999999995</v>
      </c>
    </row>
    <row r="335" spans="1:10" x14ac:dyDescent="0.35">
      <c r="A335" s="36">
        <v>2026</v>
      </c>
      <c r="B335" s="35" t="s">
        <v>11</v>
      </c>
      <c r="C335" s="35" t="s">
        <v>92</v>
      </c>
      <c r="D335" s="4" t="s">
        <v>98</v>
      </c>
      <c r="E335" s="10">
        <v>355683</v>
      </c>
      <c r="F335" s="10">
        <v>14960.4</v>
      </c>
      <c r="H335" s="10">
        <v>340722.6</v>
      </c>
      <c r="I335" s="10">
        <v>83845.600000000006</v>
      </c>
      <c r="J335" s="10">
        <v>256876.99999999997</v>
      </c>
    </row>
    <row r="336" spans="1:10" x14ac:dyDescent="0.35">
      <c r="A336" s="36">
        <v>2026</v>
      </c>
      <c r="B336" s="35" t="s">
        <v>11</v>
      </c>
      <c r="C336" s="35" t="s">
        <v>92</v>
      </c>
      <c r="D336" s="4" t="s">
        <v>97</v>
      </c>
      <c r="E336" s="10">
        <v>195634.0001</v>
      </c>
      <c r="F336" s="10">
        <v>43833.52</v>
      </c>
      <c r="H336" s="10">
        <v>151800.48000000001</v>
      </c>
      <c r="I336" s="10">
        <v>32749.48</v>
      </c>
      <c r="J336" s="10">
        <v>119051.00010000002</v>
      </c>
    </row>
    <row r="337" spans="1:10" x14ac:dyDescent="0.35">
      <c r="A337" s="36">
        <v>2026</v>
      </c>
      <c r="B337" s="35" t="s">
        <v>11</v>
      </c>
      <c r="C337" s="35" t="s">
        <v>92</v>
      </c>
      <c r="D337" s="4" t="s">
        <v>96</v>
      </c>
      <c r="E337" s="10">
        <v>133000.0001</v>
      </c>
      <c r="H337" s="10">
        <v>133000</v>
      </c>
      <c r="I337" s="10">
        <v>100913</v>
      </c>
      <c r="J337" s="10">
        <v>32087.000100000005</v>
      </c>
    </row>
    <row r="338" spans="1:10" x14ac:dyDescent="0.35">
      <c r="A338" s="36">
        <v>2026</v>
      </c>
      <c r="B338" s="35" t="s">
        <v>11</v>
      </c>
      <c r="C338" s="35" t="s">
        <v>92</v>
      </c>
      <c r="D338" s="4" t="s">
        <v>110</v>
      </c>
      <c r="E338" s="10">
        <v>126438.05</v>
      </c>
      <c r="F338" s="10">
        <v>1747.61</v>
      </c>
      <c r="H338" s="10">
        <v>124690.44</v>
      </c>
      <c r="I338" s="10">
        <v>53055.81</v>
      </c>
      <c r="J338" s="10">
        <v>71634.63</v>
      </c>
    </row>
    <row r="339" spans="1:10" x14ac:dyDescent="0.35">
      <c r="A339" s="36">
        <v>2026</v>
      </c>
      <c r="B339" s="35" t="s">
        <v>11</v>
      </c>
      <c r="C339" s="35" t="s">
        <v>92</v>
      </c>
      <c r="D339" s="4" t="s">
        <v>95</v>
      </c>
      <c r="E339" s="10">
        <v>132008</v>
      </c>
      <c r="F339" s="10">
        <v>38954.300000000003</v>
      </c>
      <c r="H339" s="10">
        <v>93053.7</v>
      </c>
      <c r="I339" s="10">
        <v>196984</v>
      </c>
      <c r="J339" s="10">
        <v>-103930.3</v>
      </c>
    </row>
    <row r="340" spans="1:10" x14ac:dyDescent="0.35">
      <c r="A340" s="36">
        <v>2026</v>
      </c>
      <c r="B340" s="35" t="s">
        <v>11</v>
      </c>
      <c r="C340" s="35" t="s">
        <v>92</v>
      </c>
      <c r="D340" s="4" t="s">
        <v>108</v>
      </c>
      <c r="E340" s="10">
        <v>120977.18</v>
      </c>
      <c r="F340" s="10">
        <v>60665.16</v>
      </c>
      <c r="H340" s="10">
        <v>60312.02</v>
      </c>
      <c r="I340" s="10">
        <v>164600.78999999998</v>
      </c>
      <c r="J340" s="10">
        <v>-104288.76999999999</v>
      </c>
    </row>
    <row r="341" spans="1:10" x14ac:dyDescent="0.35">
      <c r="A341" s="36">
        <v>2026</v>
      </c>
      <c r="B341" s="35" t="s">
        <v>11</v>
      </c>
      <c r="C341" s="35" t="s">
        <v>92</v>
      </c>
      <c r="D341" s="4" t="s">
        <v>107</v>
      </c>
      <c r="E341" s="10">
        <v>384099.43</v>
      </c>
      <c r="F341" s="10">
        <v>269406.45999999996</v>
      </c>
      <c r="G341" s="10">
        <v>57890.05</v>
      </c>
      <c r="H341" s="10">
        <v>56802.92</v>
      </c>
      <c r="J341" s="10">
        <v>56802.919999999984</v>
      </c>
    </row>
    <row r="342" spans="1:10" x14ac:dyDescent="0.35">
      <c r="A342" s="36">
        <v>2026</v>
      </c>
      <c r="B342" s="35" t="s">
        <v>11</v>
      </c>
      <c r="C342" s="35" t="s">
        <v>92</v>
      </c>
      <c r="D342" s="4" t="s">
        <v>100</v>
      </c>
      <c r="E342" s="10">
        <v>163466</v>
      </c>
      <c r="F342" s="10">
        <v>79778.47</v>
      </c>
      <c r="G342" s="10">
        <v>27913.84</v>
      </c>
      <c r="H342" s="10">
        <v>55773.69</v>
      </c>
      <c r="I342" s="10">
        <v>372160.1</v>
      </c>
      <c r="J342" s="10">
        <v>-316386.40999999997</v>
      </c>
    </row>
    <row r="343" spans="1:10" x14ac:dyDescent="0.35">
      <c r="A343" s="36">
        <v>2026</v>
      </c>
      <c r="B343" s="35" t="s">
        <v>11</v>
      </c>
      <c r="C343" s="35" t="s">
        <v>92</v>
      </c>
      <c r="D343" s="4" t="s">
        <v>102</v>
      </c>
      <c r="E343" s="10">
        <v>56470.350000000006</v>
      </c>
      <c r="F343" s="10">
        <v>22876.66</v>
      </c>
      <c r="H343" s="10">
        <v>33593.69</v>
      </c>
      <c r="I343" s="10">
        <v>1854.94</v>
      </c>
      <c r="J343" s="10">
        <v>31738.750000000004</v>
      </c>
    </row>
    <row r="344" spans="1:10" x14ac:dyDescent="0.35">
      <c r="A344" s="36">
        <v>2026</v>
      </c>
      <c r="B344" s="35" t="s">
        <v>11</v>
      </c>
      <c r="C344" s="35" t="s">
        <v>92</v>
      </c>
      <c r="D344" s="4" t="s">
        <v>93</v>
      </c>
      <c r="E344" s="10">
        <v>103000.5</v>
      </c>
      <c r="F344" s="10">
        <v>70700.86</v>
      </c>
      <c r="H344" s="10">
        <v>32299.64</v>
      </c>
      <c r="I344" s="10">
        <v>121400.14</v>
      </c>
      <c r="J344" s="10">
        <v>-89100.5</v>
      </c>
    </row>
    <row r="345" spans="1:10" x14ac:dyDescent="0.35">
      <c r="A345" s="36">
        <v>2026</v>
      </c>
      <c r="B345" s="35" t="s">
        <v>11</v>
      </c>
      <c r="C345" s="35" t="s">
        <v>92</v>
      </c>
      <c r="D345" s="4" t="s">
        <v>101</v>
      </c>
      <c r="E345" s="10">
        <v>181964.65</v>
      </c>
      <c r="F345" s="10">
        <v>159541.65000000002</v>
      </c>
      <c r="H345" s="10">
        <v>22423</v>
      </c>
      <c r="I345" s="10">
        <v>17134.23</v>
      </c>
      <c r="J345" s="10">
        <v>5288.77</v>
      </c>
    </row>
    <row r="346" spans="1:10" x14ac:dyDescent="0.35">
      <c r="A346" s="36">
        <v>2026</v>
      </c>
      <c r="B346" s="35" t="s">
        <v>11</v>
      </c>
      <c r="C346" s="35" t="s">
        <v>92</v>
      </c>
      <c r="D346" s="4" t="s">
        <v>105</v>
      </c>
      <c r="E346" s="10">
        <v>60692.12</v>
      </c>
      <c r="F346" s="10">
        <v>54231.12</v>
      </c>
      <c r="H346" s="10">
        <v>6461</v>
      </c>
      <c r="J346" s="10">
        <v>6461</v>
      </c>
    </row>
    <row r="347" spans="1:10" x14ac:dyDescent="0.35">
      <c r="A347" s="36">
        <v>2026</v>
      </c>
      <c r="B347" s="35" t="s">
        <v>11</v>
      </c>
      <c r="C347" s="35" t="s">
        <v>92</v>
      </c>
      <c r="D347" s="4" t="s">
        <v>94</v>
      </c>
      <c r="E347" s="10">
        <v>0</v>
      </c>
      <c r="H347" s="10">
        <v>0</v>
      </c>
      <c r="J347" s="10">
        <v>0</v>
      </c>
    </row>
    <row r="348" spans="1:10" x14ac:dyDescent="0.35">
      <c r="A348" s="36">
        <v>2026</v>
      </c>
      <c r="B348" s="35" t="s">
        <v>11</v>
      </c>
      <c r="C348" s="35" t="s">
        <v>92</v>
      </c>
      <c r="D348" s="4" t="s">
        <v>112</v>
      </c>
      <c r="I348" s="10">
        <v>7248</v>
      </c>
      <c r="J348" s="10">
        <v>-7248</v>
      </c>
    </row>
    <row r="349" spans="1:10" x14ac:dyDescent="0.35">
      <c r="A349" s="36">
        <v>2026</v>
      </c>
      <c r="B349" s="35" t="s">
        <v>11</v>
      </c>
      <c r="C349" s="35" t="s">
        <v>92</v>
      </c>
      <c r="D349" s="4" t="s">
        <v>113</v>
      </c>
      <c r="I349" s="10">
        <v>0</v>
      </c>
      <c r="J349" s="10">
        <v>0</v>
      </c>
    </row>
    <row r="350" spans="1:10" x14ac:dyDescent="0.35">
      <c r="A350" s="36">
        <v>2026</v>
      </c>
      <c r="B350" s="35" t="s">
        <v>11</v>
      </c>
      <c r="C350" s="35" t="s">
        <v>92</v>
      </c>
      <c r="D350" s="4" t="s">
        <v>114</v>
      </c>
      <c r="I350" s="10">
        <v>74.13000000000001</v>
      </c>
      <c r="J350" s="10">
        <v>-74.13000000000001</v>
      </c>
    </row>
    <row r="351" spans="1:10" x14ac:dyDescent="0.35">
      <c r="A351" s="36">
        <v>2026</v>
      </c>
      <c r="B351" s="35" t="s">
        <v>11</v>
      </c>
      <c r="C351" s="35" t="s">
        <v>19</v>
      </c>
      <c r="D351" s="5" t="s">
        <v>10</v>
      </c>
      <c r="E351" s="9">
        <v>17584819.819899999</v>
      </c>
      <c r="F351" s="9">
        <v>7946872.370000001</v>
      </c>
      <c r="G351" s="9">
        <v>838012.95</v>
      </c>
      <c r="H351" s="9">
        <v>8799934.5</v>
      </c>
      <c r="I351" s="9">
        <v>11969605.480000002</v>
      </c>
      <c r="J351" s="9">
        <v>-3169670.980100004</v>
      </c>
    </row>
    <row r="352" spans="1:10" x14ac:dyDescent="0.35">
      <c r="A352" s="36">
        <v>2026</v>
      </c>
      <c r="B352" s="35" t="s">
        <v>11</v>
      </c>
      <c r="C352" s="35" t="s">
        <v>19</v>
      </c>
      <c r="D352" s="4" t="s">
        <v>22</v>
      </c>
      <c r="E352" s="10">
        <v>7480600.25</v>
      </c>
      <c r="F352" s="10">
        <v>2358488.7999999993</v>
      </c>
      <c r="G352" s="10">
        <v>227373.04</v>
      </c>
      <c r="H352" s="10">
        <v>4894738.41</v>
      </c>
      <c r="I352" s="10">
        <v>7269611.5000000019</v>
      </c>
      <c r="J352" s="10">
        <v>-2374873.0900000017</v>
      </c>
    </row>
    <row r="353" spans="1:10" x14ac:dyDescent="0.35">
      <c r="A353" s="36">
        <v>2026</v>
      </c>
      <c r="B353" s="35" t="s">
        <v>11</v>
      </c>
      <c r="C353" s="35" t="s">
        <v>19</v>
      </c>
      <c r="D353" s="4" t="s">
        <v>20</v>
      </c>
      <c r="E353" s="10">
        <v>5634500</v>
      </c>
      <c r="F353" s="10">
        <v>1219258.1900000002</v>
      </c>
      <c r="G353" s="10">
        <v>455833.70999999996</v>
      </c>
      <c r="H353" s="10">
        <v>3959408.1</v>
      </c>
      <c r="I353" s="10">
        <v>3880437.5100000002</v>
      </c>
      <c r="J353" s="10">
        <v>78970.589999999851</v>
      </c>
    </row>
    <row r="354" spans="1:10" x14ac:dyDescent="0.35">
      <c r="A354" s="36">
        <v>2026</v>
      </c>
      <c r="B354" s="35" t="s">
        <v>11</v>
      </c>
      <c r="C354" s="35" t="s">
        <v>19</v>
      </c>
      <c r="D354" s="4" t="s">
        <v>21</v>
      </c>
      <c r="E354" s="10">
        <v>1256887.1099999999</v>
      </c>
      <c r="F354" s="10">
        <v>1131198.8700000003</v>
      </c>
      <c r="G354" s="10">
        <v>11028.91</v>
      </c>
      <c r="H354" s="10">
        <v>114659.33</v>
      </c>
      <c r="I354" s="10">
        <v>216305.80000000002</v>
      </c>
      <c r="J354" s="10">
        <v>-101646.47000000018</v>
      </c>
    </row>
    <row r="355" spans="1:10" x14ac:dyDescent="0.35">
      <c r="A355" s="36">
        <v>2026</v>
      </c>
      <c r="B355" s="35" t="s">
        <v>11</v>
      </c>
      <c r="C355" s="35" t="s">
        <v>19</v>
      </c>
      <c r="D355" s="4" t="s">
        <v>24</v>
      </c>
      <c r="E355" s="10">
        <v>55209</v>
      </c>
      <c r="H355" s="10">
        <v>55209</v>
      </c>
      <c r="I355" s="10">
        <v>0</v>
      </c>
      <c r="J355" s="10">
        <v>55209</v>
      </c>
    </row>
    <row r="356" spans="1:10" x14ac:dyDescent="0.35">
      <c r="A356" s="36">
        <v>2026</v>
      </c>
      <c r="B356" s="35" t="s">
        <v>11</v>
      </c>
      <c r="C356" s="35" t="s">
        <v>19</v>
      </c>
      <c r="D356" s="4" t="s">
        <v>28</v>
      </c>
      <c r="E356" s="10">
        <v>495174.41000000003</v>
      </c>
      <c r="F356" s="10">
        <v>486392.47000000009</v>
      </c>
      <c r="H356" s="10">
        <v>8781.94</v>
      </c>
      <c r="I356" s="10">
        <v>105487.58</v>
      </c>
      <c r="J356" s="10">
        <v>-96705.639999999941</v>
      </c>
    </row>
    <row r="357" spans="1:10" x14ac:dyDescent="0.35">
      <c r="A357" s="36">
        <v>2026</v>
      </c>
      <c r="B357" s="35" t="s">
        <v>11</v>
      </c>
      <c r="C357" s="35" t="s">
        <v>19</v>
      </c>
      <c r="D357" s="4" t="s">
        <v>27</v>
      </c>
      <c r="E357" s="10">
        <v>4355</v>
      </c>
      <c r="H357" s="10">
        <v>4355</v>
      </c>
      <c r="I357" s="10">
        <v>4354.9699999999993</v>
      </c>
      <c r="J357" s="10">
        <v>3.0000000000654836E-2</v>
      </c>
    </row>
    <row r="358" spans="1:10" x14ac:dyDescent="0.35">
      <c r="A358" s="36">
        <v>2026</v>
      </c>
      <c r="B358" s="35" t="s">
        <v>11</v>
      </c>
      <c r="C358" s="35" t="s">
        <v>19</v>
      </c>
      <c r="D358" s="4" t="s">
        <v>25</v>
      </c>
      <c r="E358" s="10">
        <v>2553</v>
      </c>
      <c r="H358" s="10">
        <v>2553</v>
      </c>
      <c r="I358" s="10">
        <v>0</v>
      </c>
      <c r="J358" s="10">
        <v>2553</v>
      </c>
    </row>
    <row r="359" spans="1:10" x14ac:dyDescent="0.35">
      <c r="A359" s="36">
        <v>2026</v>
      </c>
      <c r="B359" s="35" t="s">
        <v>11</v>
      </c>
      <c r="C359" s="35" t="s">
        <v>19</v>
      </c>
      <c r="D359" s="4" t="s">
        <v>23</v>
      </c>
      <c r="E359" s="10">
        <v>2644343.5299</v>
      </c>
      <c r="F359" s="10">
        <v>2751534.040000001</v>
      </c>
      <c r="G359" s="10">
        <v>4830.72</v>
      </c>
      <c r="H359" s="10">
        <v>-112021.23</v>
      </c>
      <c r="I359" s="10">
        <v>482868.61000000004</v>
      </c>
      <c r="J359" s="10">
        <v>-594889.84009999991</v>
      </c>
    </row>
    <row r="360" spans="1:10" x14ac:dyDescent="0.35">
      <c r="A360" s="36">
        <v>2026</v>
      </c>
      <c r="B360" s="35" t="s">
        <v>11</v>
      </c>
      <c r="C360" s="35" t="s">
        <v>19</v>
      </c>
      <c r="D360" s="4" t="s">
        <v>26</v>
      </c>
      <c r="E360" s="10">
        <v>11197.52</v>
      </c>
      <c r="G360" s="10">
        <v>138946.57</v>
      </c>
      <c r="H360" s="10">
        <v>-127749.05</v>
      </c>
      <c r="I360" s="10">
        <v>10539.509999999998</v>
      </c>
      <c r="J360" s="10">
        <v>-138288.56</v>
      </c>
    </row>
    <row r="361" spans="1:10" x14ac:dyDescent="0.35">
      <c r="A361" s="36">
        <v>2026</v>
      </c>
      <c r="B361" s="35" t="s">
        <v>11</v>
      </c>
      <c r="C361" s="35" t="s">
        <v>12</v>
      </c>
      <c r="D361" s="5" t="s">
        <v>10</v>
      </c>
      <c r="E361" s="9">
        <v>4979323.2999999989</v>
      </c>
      <c r="F361" s="9">
        <v>172751.51</v>
      </c>
      <c r="G361" s="9">
        <v>97797.790000000008</v>
      </c>
      <c r="H361" s="9">
        <v>4708774</v>
      </c>
      <c r="I361" s="9">
        <v>1470088.95</v>
      </c>
      <c r="J361" s="9">
        <v>3238685.0499999989</v>
      </c>
    </row>
    <row r="362" spans="1:10" x14ac:dyDescent="0.35">
      <c r="A362" s="36">
        <v>2026</v>
      </c>
      <c r="B362" s="35" t="s">
        <v>11</v>
      </c>
      <c r="C362" s="35" t="s">
        <v>12</v>
      </c>
      <c r="D362" s="4" t="s">
        <v>13</v>
      </c>
      <c r="E362" s="10">
        <v>4979323.2999999989</v>
      </c>
      <c r="F362" s="10">
        <v>172751.51</v>
      </c>
      <c r="G362" s="10">
        <v>97797.790000000008</v>
      </c>
      <c r="H362" s="10">
        <v>4708774</v>
      </c>
      <c r="I362" s="10">
        <v>1470088.95</v>
      </c>
      <c r="J362" s="10">
        <v>3238685.0499999989</v>
      </c>
    </row>
    <row r="363" spans="1:10" x14ac:dyDescent="0.35">
      <c r="A363" s="36">
        <v>2026</v>
      </c>
      <c r="B363" s="35" t="s">
        <v>11</v>
      </c>
      <c r="C363" s="35" t="s">
        <v>12</v>
      </c>
      <c r="D363" s="4" t="s">
        <v>14</v>
      </c>
      <c r="I363" s="10">
        <v>0</v>
      </c>
      <c r="J363" s="10">
        <v>0</v>
      </c>
    </row>
    <row r="364" spans="1:10" x14ac:dyDescent="0.35">
      <c r="A364" s="36">
        <v>2026</v>
      </c>
      <c r="B364" s="35" t="s">
        <v>11</v>
      </c>
      <c r="C364" s="35" t="s">
        <v>140</v>
      </c>
      <c r="D364" s="5" t="s">
        <v>10</v>
      </c>
      <c r="E364" s="9">
        <v>796298.23</v>
      </c>
      <c r="F364" s="9">
        <v>247039.50000000003</v>
      </c>
      <c r="G364" s="9"/>
      <c r="H364" s="9">
        <v>549258.73</v>
      </c>
      <c r="I364" s="9">
        <v>347112.45999999996</v>
      </c>
      <c r="J364" s="9">
        <v>202146.27000000002</v>
      </c>
    </row>
    <row r="365" spans="1:10" x14ac:dyDescent="0.35">
      <c r="A365" s="36">
        <v>2026</v>
      </c>
      <c r="B365" s="35" t="s">
        <v>11</v>
      </c>
      <c r="C365" s="35" t="s">
        <v>140</v>
      </c>
      <c r="D365" s="4" t="s">
        <v>141</v>
      </c>
      <c r="E365" s="10">
        <v>796298.23</v>
      </c>
      <c r="F365" s="10">
        <v>247039.50000000003</v>
      </c>
      <c r="H365" s="10">
        <v>549258.73</v>
      </c>
      <c r="I365" s="10">
        <v>347112.45999999996</v>
      </c>
      <c r="J365" s="10">
        <v>202146.27000000002</v>
      </c>
    </row>
    <row r="366" spans="1:10" x14ac:dyDescent="0.35">
      <c r="A366" s="36">
        <v>2026</v>
      </c>
      <c r="B366" s="35" t="s">
        <v>11</v>
      </c>
      <c r="C366" s="35" t="s">
        <v>149</v>
      </c>
      <c r="D366" s="5" t="s">
        <v>10</v>
      </c>
      <c r="E366" s="9"/>
      <c r="F366" s="9">
        <v>6550.07</v>
      </c>
      <c r="G366" s="9">
        <v>-6550.07</v>
      </c>
      <c r="H366" s="9">
        <v>0</v>
      </c>
      <c r="I366" s="9">
        <v>0</v>
      </c>
      <c r="J366" s="9">
        <v>0</v>
      </c>
    </row>
    <row r="367" spans="1:10" x14ac:dyDescent="0.35">
      <c r="A367" s="36">
        <v>2026</v>
      </c>
      <c r="B367" s="35" t="s">
        <v>11</v>
      </c>
      <c r="C367" s="35" t="s">
        <v>149</v>
      </c>
      <c r="D367" s="4" t="s">
        <v>150</v>
      </c>
      <c r="F367" s="10">
        <v>6550.07</v>
      </c>
      <c r="G367" s="10">
        <v>-6550.07</v>
      </c>
      <c r="H367" s="10">
        <v>0</v>
      </c>
      <c r="I367" s="10">
        <v>0</v>
      </c>
      <c r="J367" s="10">
        <v>0</v>
      </c>
    </row>
    <row r="368" spans="1:10" x14ac:dyDescent="0.35">
      <c r="A368" s="36">
        <v>2026</v>
      </c>
      <c r="B368" s="35" t="s">
        <v>11</v>
      </c>
      <c r="C368" s="35" t="s">
        <v>138</v>
      </c>
      <c r="D368" s="5" t="s">
        <v>10</v>
      </c>
      <c r="E368" s="9">
        <v>144992.51999999999</v>
      </c>
      <c r="F368" s="9">
        <v>144992.51999999999</v>
      </c>
      <c r="G368" s="9"/>
      <c r="H368" s="9">
        <v>0</v>
      </c>
      <c r="I368" s="9">
        <v>7537.0700000000006</v>
      </c>
      <c r="J368" s="9">
        <v>-7537.0700000000006</v>
      </c>
    </row>
    <row r="369" spans="1:10" x14ac:dyDescent="0.35">
      <c r="A369" s="36">
        <v>2026</v>
      </c>
      <c r="B369" s="35" t="s">
        <v>11</v>
      </c>
      <c r="C369" s="35" t="s">
        <v>138</v>
      </c>
      <c r="D369" s="4" t="s">
        <v>139</v>
      </c>
      <c r="E369" s="10">
        <v>144992.51999999999</v>
      </c>
      <c r="F369" s="10">
        <v>144992.51999999999</v>
      </c>
      <c r="H369" s="10">
        <v>0</v>
      </c>
      <c r="I369" s="10">
        <v>7537.0700000000006</v>
      </c>
      <c r="J369" s="10">
        <v>-7537.0700000000006</v>
      </c>
    </row>
    <row r="370" spans="1:10" x14ac:dyDescent="0.35">
      <c r="A370" s="36">
        <v>2026</v>
      </c>
      <c r="B370" s="35" t="s">
        <v>11</v>
      </c>
      <c r="C370" s="35" t="s">
        <v>142</v>
      </c>
      <c r="D370" s="5" t="s">
        <v>10</v>
      </c>
      <c r="E370" s="9"/>
      <c r="F370" s="9"/>
      <c r="G370" s="9"/>
      <c r="H370" s="9"/>
      <c r="I370" s="9">
        <v>198088.38</v>
      </c>
      <c r="J370" s="9">
        <v>-198088.38</v>
      </c>
    </row>
    <row r="371" spans="1:10" x14ac:dyDescent="0.35">
      <c r="A371" s="36">
        <v>2026</v>
      </c>
      <c r="B371" s="35" t="s">
        <v>11</v>
      </c>
      <c r="C371" s="35" t="s">
        <v>142</v>
      </c>
      <c r="D371" s="4" t="s">
        <v>143</v>
      </c>
      <c r="I371" s="10">
        <v>0</v>
      </c>
      <c r="J371" s="10">
        <v>0</v>
      </c>
    </row>
    <row r="372" spans="1:10" x14ac:dyDescent="0.35">
      <c r="A372" s="36">
        <v>2026</v>
      </c>
      <c r="B372" s="35" t="s">
        <v>11</v>
      </c>
      <c r="C372" s="35" t="s">
        <v>142</v>
      </c>
      <c r="D372" s="4" t="s">
        <v>144</v>
      </c>
      <c r="I372" s="10">
        <v>9571.26</v>
      </c>
      <c r="J372" s="10">
        <v>-9571.26</v>
      </c>
    </row>
    <row r="373" spans="1:10" x14ac:dyDescent="0.35">
      <c r="A373" s="36">
        <v>2026</v>
      </c>
      <c r="B373" s="35" t="s">
        <v>11</v>
      </c>
      <c r="C373" s="35" t="s">
        <v>142</v>
      </c>
      <c r="D373" s="4" t="s">
        <v>145</v>
      </c>
      <c r="I373" s="10">
        <v>188517.12</v>
      </c>
      <c r="J373" s="10">
        <v>-188517.12</v>
      </c>
    </row>
    <row r="374" spans="1:10" x14ac:dyDescent="0.35">
      <c r="A374" s="36">
        <v>2026</v>
      </c>
      <c r="B374" s="35" t="s">
        <v>11</v>
      </c>
      <c r="C374" s="35" t="s">
        <v>146</v>
      </c>
      <c r="D374" s="5" t="s">
        <v>10</v>
      </c>
      <c r="E374" s="9"/>
      <c r="F374" s="9"/>
      <c r="G374" s="9"/>
      <c r="H374" s="9"/>
      <c r="I374" s="9">
        <v>0</v>
      </c>
      <c r="J374" s="9">
        <v>0</v>
      </c>
    </row>
    <row r="375" spans="1:10" x14ac:dyDescent="0.35">
      <c r="A375" s="36">
        <v>2026</v>
      </c>
      <c r="B375" s="35" t="s">
        <v>11</v>
      </c>
      <c r="C375" s="35" t="s">
        <v>146</v>
      </c>
      <c r="D375" s="4" t="s">
        <v>147</v>
      </c>
      <c r="I375" s="10">
        <v>0</v>
      </c>
      <c r="J375" s="10">
        <v>0</v>
      </c>
    </row>
    <row r="376" spans="1:10" x14ac:dyDescent="0.35">
      <c r="A376" s="36">
        <v>2026</v>
      </c>
      <c r="B376" s="35" t="s">
        <v>11</v>
      </c>
      <c r="C376" s="35" t="s">
        <v>146</v>
      </c>
      <c r="D376" s="4" t="s">
        <v>148</v>
      </c>
      <c r="I376" s="10">
        <v>0</v>
      </c>
      <c r="J376" s="10">
        <v>0</v>
      </c>
    </row>
    <row r="377" spans="1:10" x14ac:dyDescent="0.35">
      <c r="A377" s="36">
        <v>2026</v>
      </c>
      <c r="B377" s="35" t="s">
        <v>11</v>
      </c>
      <c r="C377" s="35" t="s">
        <v>15</v>
      </c>
      <c r="D377" s="5" t="s">
        <v>10</v>
      </c>
      <c r="E377" s="9">
        <v>236165.54</v>
      </c>
      <c r="F377" s="9">
        <v>543776.59</v>
      </c>
      <c r="G377" s="9"/>
      <c r="H377" s="9">
        <v>-307611.05</v>
      </c>
      <c r="I377" s="9">
        <v>287934.51999999996</v>
      </c>
      <c r="J377" s="9">
        <v>-595545.57000000007</v>
      </c>
    </row>
    <row r="378" spans="1:10" x14ac:dyDescent="0.35">
      <c r="A378" s="36">
        <v>2026</v>
      </c>
      <c r="B378" s="35" t="s">
        <v>11</v>
      </c>
      <c r="C378" s="35" t="s">
        <v>15</v>
      </c>
      <c r="D378" s="4" t="s">
        <v>17</v>
      </c>
      <c r="E378" s="10">
        <v>236165.54</v>
      </c>
      <c r="F378" s="10">
        <v>195142.13999999998</v>
      </c>
      <c r="H378" s="10">
        <v>41023.4</v>
      </c>
      <c r="I378" s="10">
        <v>15042.97</v>
      </c>
      <c r="J378" s="10">
        <v>25980.429999999993</v>
      </c>
    </row>
    <row r="379" spans="1:10" x14ac:dyDescent="0.35">
      <c r="A379" s="36">
        <v>2026</v>
      </c>
      <c r="B379" s="35" t="s">
        <v>11</v>
      </c>
      <c r="C379" s="35" t="s">
        <v>15</v>
      </c>
      <c r="D379" s="4" t="s">
        <v>18</v>
      </c>
      <c r="E379" s="10">
        <v>0</v>
      </c>
      <c r="H379" s="10">
        <v>0</v>
      </c>
      <c r="J379" s="10">
        <v>0</v>
      </c>
    </row>
    <row r="380" spans="1:10" x14ac:dyDescent="0.35">
      <c r="A380" s="36">
        <v>2026</v>
      </c>
      <c r="B380" s="35" t="s">
        <v>11</v>
      </c>
      <c r="C380" s="35" t="s">
        <v>15</v>
      </c>
      <c r="D380" s="4" t="s">
        <v>16</v>
      </c>
      <c r="E380" s="10">
        <v>0</v>
      </c>
      <c r="F380" s="10">
        <v>348634.45</v>
      </c>
      <c r="H380" s="10">
        <v>-348634.45</v>
      </c>
      <c r="I380" s="10">
        <v>272891.55</v>
      </c>
      <c r="J380" s="10">
        <v>-621526</v>
      </c>
    </row>
    <row r="381" spans="1:10" x14ac:dyDescent="0.35">
      <c r="A381" s="36">
        <v>2026</v>
      </c>
      <c r="B381" s="35" t="s">
        <v>151</v>
      </c>
      <c r="C381" s="37" t="s">
        <v>10</v>
      </c>
      <c r="D381" s="39"/>
      <c r="E381" s="9">
        <v>39906688.947500005</v>
      </c>
      <c r="F381" s="9">
        <v>14203340.279999994</v>
      </c>
      <c r="G381" s="9">
        <v>828398.91</v>
      </c>
      <c r="H381" s="9">
        <v>24874949.760000002</v>
      </c>
      <c r="I381" s="9">
        <v>5815690.169999999</v>
      </c>
      <c r="J381" s="9">
        <v>19059259.58750001</v>
      </c>
    </row>
    <row r="382" spans="1:10" x14ac:dyDescent="0.35">
      <c r="A382" s="36">
        <v>2026</v>
      </c>
      <c r="B382" s="35" t="s">
        <v>151</v>
      </c>
      <c r="C382" s="35" t="s">
        <v>167</v>
      </c>
      <c r="D382" s="5" t="s">
        <v>10</v>
      </c>
      <c r="E382" s="9">
        <v>16073633.1976</v>
      </c>
      <c r="F382" s="9">
        <v>5191667.6700000009</v>
      </c>
      <c r="G382" s="9">
        <v>642772</v>
      </c>
      <c r="H382" s="9">
        <v>10239193.529999999</v>
      </c>
      <c r="I382" s="9">
        <v>2230776.36</v>
      </c>
      <c r="J382" s="9">
        <v>8008417.1676000003</v>
      </c>
    </row>
    <row r="383" spans="1:10" x14ac:dyDescent="0.35">
      <c r="A383" s="36">
        <v>2026</v>
      </c>
      <c r="B383" s="35" t="s">
        <v>151</v>
      </c>
      <c r="C383" s="35" t="s">
        <v>167</v>
      </c>
      <c r="D383" s="4" t="s">
        <v>174</v>
      </c>
      <c r="E383" s="10">
        <v>6353445.5893000001</v>
      </c>
      <c r="F383" s="10">
        <v>3781210.3200000003</v>
      </c>
      <c r="H383" s="10">
        <v>2572235.27</v>
      </c>
      <c r="I383" s="10">
        <v>119370.75</v>
      </c>
      <c r="J383" s="10">
        <v>2452864.5193000003</v>
      </c>
    </row>
    <row r="384" spans="1:10" x14ac:dyDescent="0.35">
      <c r="A384" s="36">
        <v>2026</v>
      </c>
      <c r="B384" s="35" t="s">
        <v>151</v>
      </c>
      <c r="C384" s="35" t="s">
        <v>167</v>
      </c>
      <c r="D384" s="4" t="s">
        <v>176</v>
      </c>
      <c r="E384" s="10">
        <v>1594342.6101000002</v>
      </c>
      <c r="F384" s="10">
        <v>107252.63</v>
      </c>
      <c r="H384" s="10">
        <v>1487089.98</v>
      </c>
      <c r="I384" s="10">
        <v>8.56</v>
      </c>
      <c r="J384" s="10">
        <v>1487081.4201000002</v>
      </c>
    </row>
    <row r="385" spans="1:10" x14ac:dyDescent="0.35">
      <c r="A385" s="36">
        <v>2026</v>
      </c>
      <c r="B385" s="35" t="s">
        <v>151</v>
      </c>
      <c r="C385" s="35" t="s">
        <v>167</v>
      </c>
      <c r="D385" s="4" t="s">
        <v>173</v>
      </c>
      <c r="E385" s="10">
        <v>1450982.55</v>
      </c>
      <c r="F385" s="10">
        <v>89865.29</v>
      </c>
      <c r="H385" s="10">
        <v>1361117.26</v>
      </c>
      <c r="I385" s="10">
        <v>71311.259999999995</v>
      </c>
      <c r="J385" s="10">
        <v>1289806</v>
      </c>
    </row>
    <row r="386" spans="1:10" x14ac:dyDescent="0.35">
      <c r="A386" s="36">
        <v>2026</v>
      </c>
      <c r="B386" s="35" t="s">
        <v>151</v>
      </c>
      <c r="C386" s="35" t="s">
        <v>167</v>
      </c>
      <c r="D386" s="4" t="s">
        <v>168</v>
      </c>
      <c r="E386" s="10">
        <v>1075999.9996</v>
      </c>
      <c r="H386" s="10">
        <v>1076000</v>
      </c>
      <c r="I386" s="10">
        <v>354463</v>
      </c>
      <c r="J386" s="10">
        <v>721536.99959999998</v>
      </c>
    </row>
    <row r="387" spans="1:10" x14ac:dyDescent="0.35">
      <c r="A387" s="36">
        <v>2026</v>
      </c>
      <c r="B387" s="35" t="s">
        <v>151</v>
      </c>
      <c r="C387" s="35" t="s">
        <v>167</v>
      </c>
      <c r="D387" s="4" t="s">
        <v>179</v>
      </c>
      <c r="E387" s="10">
        <v>1110943.3533999999</v>
      </c>
      <c r="F387" s="10">
        <v>117230.12000000001</v>
      </c>
      <c r="G387" s="10">
        <v>40240</v>
      </c>
      <c r="H387" s="10">
        <v>953473.23</v>
      </c>
      <c r="I387" s="10">
        <v>87076.469999999972</v>
      </c>
      <c r="J387" s="10">
        <v>866396.76339999994</v>
      </c>
    </row>
    <row r="388" spans="1:10" x14ac:dyDescent="0.35">
      <c r="A388" s="36">
        <v>2026</v>
      </c>
      <c r="B388" s="35" t="s">
        <v>151</v>
      </c>
      <c r="C388" s="35" t="s">
        <v>167</v>
      </c>
      <c r="D388" s="4" t="s">
        <v>170</v>
      </c>
      <c r="E388" s="10">
        <v>953286.99999999988</v>
      </c>
      <c r="F388" s="10">
        <v>156452.28</v>
      </c>
      <c r="H388" s="10">
        <v>796834.72</v>
      </c>
      <c r="I388" s="10">
        <v>310183.36</v>
      </c>
      <c r="J388" s="10">
        <v>486651.35999999987</v>
      </c>
    </row>
    <row r="389" spans="1:10" x14ac:dyDescent="0.35">
      <c r="A389" s="36">
        <v>2026</v>
      </c>
      <c r="B389" s="35" t="s">
        <v>151</v>
      </c>
      <c r="C389" s="35" t="s">
        <v>167</v>
      </c>
      <c r="D389" s="4" t="s">
        <v>184</v>
      </c>
      <c r="E389" s="10">
        <v>1080546.9850000001</v>
      </c>
      <c r="F389" s="10">
        <v>337298.18</v>
      </c>
      <c r="H389" s="10">
        <v>743248.81</v>
      </c>
      <c r="I389" s="10">
        <v>68607.849999999991</v>
      </c>
      <c r="J389" s="10">
        <v>674640.95500000019</v>
      </c>
    </row>
    <row r="390" spans="1:10" x14ac:dyDescent="0.35">
      <c r="A390" s="36">
        <v>2026</v>
      </c>
      <c r="B390" s="35" t="s">
        <v>151</v>
      </c>
      <c r="C390" s="35" t="s">
        <v>167</v>
      </c>
      <c r="D390" s="4" t="s">
        <v>172</v>
      </c>
      <c r="E390" s="10">
        <v>667178.9</v>
      </c>
      <c r="F390" s="10">
        <v>187363.16999999998</v>
      </c>
      <c r="H390" s="10">
        <v>479815.73</v>
      </c>
      <c r="I390" s="10">
        <v>10707.420000000002</v>
      </c>
      <c r="J390" s="10">
        <v>469108.31</v>
      </c>
    </row>
    <row r="391" spans="1:10" x14ac:dyDescent="0.35">
      <c r="A391" s="36">
        <v>2026</v>
      </c>
      <c r="B391" s="35" t="s">
        <v>151</v>
      </c>
      <c r="C391" s="35" t="s">
        <v>167</v>
      </c>
      <c r="D391" s="4" t="s">
        <v>169</v>
      </c>
      <c r="E391" s="10">
        <v>1000000</v>
      </c>
      <c r="G391" s="10">
        <v>602532</v>
      </c>
      <c r="H391" s="10">
        <v>397468</v>
      </c>
      <c r="I391" s="10">
        <v>1116063.8200000003</v>
      </c>
      <c r="J391" s="10">
        <v>-718595.8200000003</v>
      </c>
    </row>
    <row r="392" spans="1:10" x14ac:dyDescent="0.35">
      <c r="A392" s="36">
        <v>2026</v>
      </c>
      <c r="B392" s="35" t="s">
        <v>151</v>
      </c>
      <c r="C392" s="35" t="s">
        <v>167</v>
      </c>
      <c r="D392" s="4" t="s">
        <v>171</v>
      </c>
      <c r="E392" s="10">
        <v>200000.00020000001</v>
      </c>
      <c r="F392" s="10">
        <v>8181.26</v>
      </c>
      <c r="H392" s="10">
        <v>191818.74</v>
      </c>
      <c r="J392" s="10">
        <v>191818.7402</v>
      </c>
    </row>
    <row r="393" spans="1:10" x14ac:dyDescent="0.35">
      <c r="A393" s="36">
        <v>2026</v>
      </c>
      <c r="B393" s="35" t="s">
        <v>151</v>
      </c>
      <c r="C393" s="35" t="s">
        <v>167</v>
      </c>
      <c r="D393" s="4" t="s">
        <v>185</v>
      </c>
      <c r="E393" s="10">
        <v>96669.999999999985</v>
      </c>
      <c r="F393" s="10">
        <v>-34804.83</v>
      </c>
      <c r="H393" s="10">
        <v>131474.82999999999</v>
      </c>
      <c r="J393" s="10">
        <v>131474.82999999999</v>
      </c>
    </row>
    <row r="394" spans="1:10" x14ac:dyDescent="0.35">
      <c r="A394" s="36">
        <v>2026</v>
      </c>
      <c r="B394" s="35" t="s">
        <v>151</v>
      </c>
      <c r="C394" s="35" t="s">
        <v>167</v>
      </c>
      <c r="D394" s="4" t="s">
        <v>177</v>
      </c>
      <c r="E394" s="10">
        <v>38163.740000000005</v>
      </c>
      <c r="F394" s="10">
        <v>12009.53</v>
      </c>
      <c r="H394" s="10">
        <v>26154.21</v>
      </c>
      <c r="I394" s="10">
        <v>26154.07</v>
      </c>
      <c r="J394" s="10">
        <v>0.14000000000669388</v>
      </c>
    </row>
    <row r="395" spans="1:10" x14ac:dyDescent="0.35">
      <c r="A395" s="36">
        <v>2026</v>
      </c>
      <c r="B395" s="35" t="s">
        <v>151</v>
      </c>
      <c r="C395" s="35" t="s">
        <v>167</v>
      </c>
      <c r="D395" s="4" t="s">
        <v>181</v>
      </c>
      <c r="E395" s="10">
        <v>21439</v>
      </c>
      <c r="H395" s="10">
        <v>21439</v>
      </c>
      <c r="I395" s="10">
        <v>21439.940000000002</v>
      </c>
      <c r="J395" s="10">
        <v>-0.94000000000232831</v>
      </c>
    </row>
    <row r="396" spans="1:10" x14ac:dyDescent="0.35">
      <c r="A396" s="36">
        <v>2026</v>
      </c>
      <c r="B396" s="35" t="s">
        <v>151</v>
      </c>
      <c r="C396" s="35" t="s">
        <v>167</v>
      </c>
      <c r="D396" s="4" t="s">
        <v>183</v>
      </c>
      <c r="E396" s="10">
        <v>54846.57</v>
      </c>
      <c r="F396" s="10">
        <v>53823.82</v>
      </c>
      <c r="H396" s="10">
        <v>1022.75</v>
      </c>
      <c r="I396" s="10">
        <v>8373.49</v>
      </c>
      <c r="J396" s="10">
        <v>-7350.74</v>
      </c>
    </row>
    <row r="397" spans="1:10" x14ac:dyDescent="0.35">
      <c r="A397" s="36">
        <v>2026</v>
      </c>
      <c r="B397" s="35" t="s">
        <v>151</v>
      </c>
      <c r="C397" s="35" t="s">
        <v>167</v>
      </c>
      <c r="D397" s="4" t="s">
        <v>175</v>
      </c>
      <c r="E397" s="10">
        <v>1</v>
      </c>
      <c r="H397" s="10">
        <v>1</v>
      </c>
      <c r="I397" s="10">
        <v>0.82000000000000006</v>
      </c>
      <c r="J397" s="10">
        <v>0.17999999999999994</v>
      </c>
    </row>
    <row r="398" spans="1:10" x14ac:dyDescent="0.35">
      <c r="A398" s="36">
        <v>2026</v>
      </c>
      <c r="B398" s="35" t="s">
        <v>151</v>
      </c>
      <c r="C398" s="35" t="s">
        <v>167</v>
      </c>
      <c r="D398" s="4" t="s">
        <v>178</v>
      </c>
      <c r="E398" s="10">
        <v>69505.41</v>
      </c>
      <c r="F398" s="10">
        <v>69505.41</v>
      </c>
      <c r="H398" s="10">
        <v>0</v>
      </c>
      <c r="I398" s="10">
        <v>0.17</v>
      </c>
      <c r="J398" s="10">
        <v>-0.17</v>
      </c>
    </row>
    <row r="399" spans="1:10" x14ac:dyDescent="0.35">
      <c r="A399" s="36">
        <v>2026</v>
      </c>
      <c r="B399" s="35" t="s">
        <v>151</v>
      </c>
      <c r="C399" s="35" t="s">
        <v>167</v>
      </c>
      <c r="D399" s="4" t="s">
        <v>180</v>
      </c>
      <c r="E399" s="10">
        <v>168406.96000000002</v>
      </c>
      <c r="F399" s="10">
        <v>168406.96000000002</v>
      </c>
      <c r="H399" s="10">
        <v>0</v>
      </c>
      <c r="I399" s="10">
        <v>0.14000000000000001</v>
      </c>
      <c r="J399" s="10">
        <v>-0.13999999997089618</v>
      </c>
    </row>
    <row r="400" spans="1:10" x14ac:dyDescent="0.35">
      <c r="A400" s="36">
        <v>2026</v>
      </c>
      <c r="B400" s="35" t="s">
        <v>151</v>
      </c>
      <c r="C400" s="35" t="s">
        <v>167</v>
      </c>
      <c r="D400" s="4" t="s">
        <v>182</v>
      </c>
      <c r="E400" s="10">
        <v>137873.53</v>
      </c>
      <c r="F400" s="10">
        <v>137873.53</v>
      </c>
      <c r="H400" s="10">
        <v>0</v>
      </c>
      <c r="I400" s="10">
        <v>37015.240000000005</v>
      </c>
      <c r="J400" s="10">
        <v>-37015.240000000005</v>
      </c>
    </row>
    <row r="401" spans="1:10" x14ac:dyDescent="0.35">
      <c r="A401" s="36">
        <v>2026</v>
      </c>
      <c r="B401" s="35" t="s">
        <v>151</v>
      </c>
      <c r="C401" s="35" t="s">
        <v>152</v>
      </c>
      <c r="D401" s="5" t="s">
        <v>10</v>
      </c>
      <c r="E401" s="9">
        <v>11920930.0101</v>
      </c>
      <c r="F401" s="9">
        <v>4183548.9000000004</v>
      </c>
      <c r="G401" s="9">
        <v>93040.75</v>
      </c>
      <c r="H401" s="9">
        <v>7644340.3600000003</v>
      </c>
      <c r="I401" s="9">
        <v>2415693.33</v>
      </c>
      <c r="J401" s="9">
        <v>5228647.0301000001</v>
      </c>
    </row>
    <row r="402" spans="1:10" x14ac:dyDescent="0.35">
      <c r="A402" s="36">
        <v>2026</v>
      </c>
      <c r="B402" s="35" t="s">
        <v>151</v>
      </c>
      <c r="C402" s="35" t="s">
        <v>152</v>
      </c>
      <c r="D402" s="4" t="s">
        <v>153</v>
      </c>
      <c r="E402" s="10">
        <v>2704697.15</v>
      </c>
      <c r="F402" s="10">
        <v>385798.81</v>
      </c>
      <c r="H402" s="10">
        <v>2318898.34</v>
      </c>
      <c r="I402" s="10">
        <v>333256.19</v>
      </c>
      <c r="J402" s="10">
        <v>1985642.15</v>
      </c>
    </row>
    <row r="403" spans="1:10" x14ac:dyDescent="0.35">
      <c r="A403" s="36">
        <v>2026</v>
      </c>
      <c r="B403" s="35" t="s">
        <v>151</v>
      </c>
      <c r="C403" s="35" t="s">
        <v>152</v>
      </c>
      <c r="D403" s="4" t="s">
        <v>165</v>
      </c>
      <c r="E403" s="10">
        <v>1892440.13</v>
      </c>
      <c r="F403" s="10">
        <v>316581.24</v>
      </c>
      <c r="H403" s="10">
        <v>1575858.89</v>
      </c>
      <c r="I403" s="10">
        <v>20783.52</v>
      </c>
      <c r="J403" s="10">
        <v>1555075.3699999999</v>
      </c>
    </row>
    <row r="404" spans="1:10" x14ac:dyDescent="0.35">
      <c r="A404" s="36">
        <v>2026</v>
      </c>
      <c r="B404" s="35" t="s">
        <v>151</v>
      </c>
      <c r="C404" s="35" t="s">
        <v>152</v>
      </c>
      <c r="D404" s="4" t="s">
        <v>162</v>
      </c>
      <c r="E404" s="10">
        <v>2234591.56</v>
      </c>
      <c r="F404" s="10">
        <v>604388.39</v>
      </c>
      <c r="G404" s="10">
        <v>70522.06</v>
      </c>
      <c r="H404" s="10">
        <v>1559681.11</v>
      </c>
      <c r="I404" s="10">
        <v>1454583.24</v>
      </c>
      <c r="J404" s="10">
        <v>105097.87000000011</v>
      </c>
    </row>
    <row r="405" spans="1:10" x14ac:dyDescent="0.35">
      <c r="A405" s="36">
        <v>2026</v>
      </c>
      <c r="B405" s="35" t="s">
        <v>151</v>
      </c>
      <c r="C405" s="35" t="s">
        <v>152</v>
      </c>
      <c r="D405" s="4" t="s">
        <v>154</v>
      </c>
      <c r="E405" s="10">
        <v>1392000.0001000001</v>
      </c>
      <c r="F405" s="10">
        <v>251938.8</v>
      </c>
      <c r="H405" s="10">
        <v>1140061.2</v>
      </c>
      <c r="I405" s="10">
        <v>134748.20000000001</v>
      </c>
      <c r="J405" s="10">
        <v>1005313.0001000001</v>
      </c>
    </row>
    <row r="406" spans="1:10" x14ac:dyDescent="0.35">
      <c r="A406" s="36">
        <v>2026</v>
      </c>
      <c r="B406" s="35" t="s">
        <v>151</v>
      </c>
      <c r="C406" s="35" t="s">
        <v>152</v>
      </c>
      <c r="D406" s="4" t="s">
        <v>155</v>
      </c>
      <c r="E406" s="10">
        <v>982113.89</v>
      </c>
      <c r="F406" s="10">
        <v>329536.38</v>
      </c>
      <c r="G406" s="10">
        <v>5364.31</v>
      </c>
      <c r="H406" s="10">
        <v>647213.19999999995</v>
      </c>
      <c r="I406" s="10">
        <v>212087.26</v>
      </c>
      <c r="J406" s="10">
        <v>435125.93999999994</v>
      </c>
    </row>
    <row r="407" spans="1:10" x14ac:dyDescent="0.35">
      <c r="A407" s="36">
        <v>2026</v>
      </c>
      <c r="B407" s="35" t="s">
        <v>151</v>
      </c>
      <c r="C407" s="35" t="s">
        <v>152</v>
      </c>
      <c r="D407" s="4" t="s">
        <v>159</v>
      </c>
      <c r="E407" s="10">
        <v>1263451.25</v>
      </c>
      <c r="F407" s="10">
        <v>1025610.7299999999</v>
      </c>
      <c r="G407" s="10">
        <v>9676.3799999999992</v>
      </c>
      <c r="H407" s="10">
        <v>228164.14</v>
      </c>
      <c r="I407" s="10">
        <v>147786.50999999998</v>
      </c>
      <c r="J407" s="10">
        <v>80377.630000000034</v>
      </c>
    </row>
    <row r="408" spans="1:10" x14ac:dyDescent="0.35">
      <c r="A408" s="36">
        <v>2026</v>
      </c>
      <c r="B408" s="35" t="s">
        <v>151</v>
      </c>
      <c r="C408" s="35" t="s">
        <v>152</v>
      </c>
      <c r="D408" s="4" t="s">
        <v>163</v>
      </c>
      <c r="E408" s="10">
        <v>209826.13999999998</v>
      </c>
      <c r="F408" s="10">
        <v>120664.9</v>
      </c>
      <c r="G408" s="10">
        <v>7478</v>
      </c>
      <c r="H408" s="10">
        <v>81683.240000000005</v>
      </c>
      <c r="I408" s="10">
        <v>20209.79</v>
      </c>
      <c r="J408" s="10">
        <v>61473.44999999999</v>
      </c>
    </row>
    <row r="409" spans="1:10" x14ac:dyDescent="0.35">
      <c r="A409" s="36">
        <v>2026</v>
      </c>
      <c r="B409" s="35" t="s">
        <v>151</v>
      </c>
      <c r="C409" s="35" t="s">
        <v>152</v>
      </c>
      <c r="D409" s="4" t="s">
        <v>161</v>
      </c>
      <c r="E409" s="10">
        <v>280462.40000000002</v>
      </c>
      <c r="F409" s="10">
        <v>205892.48000000001</v>
      </c>
      <c r="H409" s="10">
        <v>74569.919999999998</v>
      </c>
      <c r="I409" s="10">
        <v>46257.919999999998</v>
      </c>
      <c r="J409" s="10">
        <v>28312.000000000015</v>
      </c>
    </row>
    <row r="410" spans="1:10" x14ac:dyDescent="0.35">
      <c r="A410" s="36">
        <v>2026</v>
      </c>
      <c r="B410" s="35" t="s">
        <v>151</v>
      </c>
      <c r="C410" s="35" t="s">
        <v>152</v>
      </c>
      <c r="D410" s="4" t="s">
        <v>164</v>
      </c>
      <c r="E410" s="10">
        <v>8710</v>
      </c>
      <c r="H410" s="10">
        <v>8710</v>
      </c>
      <c r="I410" s="10">
        <v>8710.06</v>
      </c>
      <c r="J410" s="10">
        <v>-5.9999999999490683E-2</v>
      </c>
    </row>
    <row r="411" spans="1:10" x14ac:dyDescent="0.35">
      <c r="A411" s="36">
        <v>2026</v>
      </c>
      <c r="B411" s="35" t="s">
        <v>151</v>
      </c>
      <c r="C411" s="35" t="s">
        <v>152</v>
      </c>
      <c r="D411" s="4" t="s">
        <v>158</v>
      </c>
      <c r="E411" s="10">
        <v>169073.5</v>
      </c>
      <c r="F411" s="10">
        <v>162841.69</v>
      </c>
      <c r="H411" s="10">
        <v>6231.81</v>
      </c>
      <c r="I411" s="10">
        <v>6231.4400000000005</v>
      </c>
      <c r="J411" s="10">
        <v>0.36999999999716238</v>
      </c>
    </row>
    <row r="412" spans="1:10" x14ac:dyDescent="0.35">
      <c r="A412" s="36">
        <v>2026</v>
      </c>
      <c r="B412" s="35" t="s">
        <v>151</v>
      </c>
      <c r="C412" s="35" t="s">
        <v>152</v>
      </c>
      <c r="D412" s="4" t="s">
        <v>160</v>
      </c>
      <c r="E412" s="10">
        <v>3523</v>
      </c>
      <c r="H412" s="10">
        <v>3523</v>
      </c>
      <c r="I412" s="10">
        <v>6467.21</v>
      </c>
      <c r="J412" s="10">
        <v>-2944.21</v>
      </c>
    </row>
    <row r="413" spans="1:10" x14ac:dyDescent="0.35">
      <c r="A413" s="36">
        <v>2026</v>
      </c>
      <c r="B413" s="35" t="s">
        <v>151</v>
      </c>
      <c r="C413" s="35" t="s">
        <v>152</v>
      </c>
      <c r="D413" s="4" t="s">
        <v>156</v>
      </c>
      <c r="E413" s="10">
        <v>131303.34</v>
      </c>
      <c r="F413" s="10">
        <v>129565.05</v>
      </c>
      <c r="H413" s="10">
        <v>1738.29</v>
      </c>
      <c r="I413" s="10">
        <v>1737.95</v>
      </c>
      <c r="J413" s="10">
        <v>0.33999999999355168</v>
      </c>
    </row>
    <row r="414" spans="1:10" x14ac:dyDescent="0.35">
      <c r="A414" s="36">
        <v>2026</v>
      </c>
      <c r="B414" s="35" t="s">
        <v>151</v>
      </c>
      <c r="C414" s="35" t="s">
        <v>152</v>
      </c>
      <c r="D414" s="4" t="s">
        <v>157</v>
      </c>
      <c r="E414" s="10">
        <v>0</v>
      </c>
      <c r="H414" s="10">
        <v>0</v>
      </c>
      <c r="J414" s="10">
        <v>0</v>
      </c>
    </row>
    <row r="415" spans="1:10" x14ac:dyDescent="0.35">
      <c r="A415" s="36">
        <v>2026</v>
      </c>
      <c r="B415" s="35" t="s">
        <v>151</v>
      </c>
      <c r="C415" s="35" t="s">
        <v>152</v>
      </c>
      <c r="D415" s="4" t="s">
        <v>166</v>
      </c>
      <c r="E415" s="10">
        <v>648737.64999999991</v>
      </c>
      <c r="F415" s="10">
        <v>650730.42999999993</v>
      </c>
      <c r="H415" s="10">
        <v>-1992.78</v>
      </c>
      <c r="I415" s="10">
        <v>22834.04</v>
      </c>
      <c r="J415" s="10">
        <v>-24826.820000000145</v>
      </c>
    </row>
    <row r="416" spans="1:10" x14ac:dyDescent="0.35">
      <c r="A416" s="36">
        <v>2026</v>
      </c>
      <c r="B416" s="35" t="s">
        <v>151</v>
      </c>
      <c r="C416" s="35" t="s">
        <v>214</v>
      </c>
      <c r="D416" s="5" t="s">
        <v>10</v>
      </c>
      <c r="E416" s="9">
        <v>4928649.9798999997</v>
      </c>
      <c r="F416" s="9">
        <v>2279149.0400000005</v>
      </c>
      <c r="G416" s="9"/>
      <c r="H416" s="9">
        <v>2649500.94</v>
      </c>
      <c r="I416" s="9">
        <v>295114.83999999997</v>
      </c>
      <c r="J416" s="9">
        <v>2354386.0998999998</v>
      </c>
    </row>
    <row r="417" spans="1:10" x14ac:dyDescent="0.35">
      <c r="A417" s="36">
        <v>2026</v>
      </c>
      <c r="B417" s="35" t="s">
        <v>151</v>
      </c>
      <c r="C417" s="35" t="s">
        <v>214</v>
      </c>
      <c r="D417" s="4" t="s">
        <v>219</v>
      </c>
      <c r="E417" s="10">
        <v>2472312.6998999999</v>
      </c>
      <c r="F417" s="10">
        <v>625032.49</v>
      </c>
      <c r="H417" s="10">
        <v>1847280.21</v>
      </c>
      <c r="I417" s="10">
        <v>231676.11</v>
      </c>
      <c r="J417" s="10">
        <v>1615604.0998999998</v>
      </c>
    </row>
    <row r="418" spans="1:10" x14ac:dyDescent="0.35">
      <c r="A418" s="36">
        <v>2026</v>
      </c>
      <c r="B418" s="35" t="s">
        <v>151</v>
      </c>
      <c r="C418" s="35" t="s">
        <v>214</v>
      </c>
      <c r="D418" s="4" t="s">
        <v>215</v>
      </c>
      <c r="E418" s="10">
        <v>1663397.63</v>
      </c>
      <c r="F418" s="10">
        <v>1338282.3500000001</v>
      </c>
      <c r="H418" s="10">
        <v>325115.28000000003</v>
      </c>
      <c r="I418" s="10">
        <v>18531.080000000002</v>
      </c>
      <c r="J418" s="10">
        <v>306584.19999999978</v>
      </c>
    </row>
    <row r="419" spans="1:10" x14ac:dyDescent="0.35">
      <c r="A419" s="36">
        <v>2026</v>
      </c>
      <c r="B419" s="35" t="s">
        <v>151</v>
      </c>
      <c r="C419" s="35" t="s">
        <v>214</v>
      </c>
      <c r="D419" s="4" t="s">
        <v>217</v>
      </c>
      <c r="E419" s="10">
        <v>296400</v>
      </c>
      <c r="H419" s="10">
        <v>296400</v>
      </c>
      <c r="J419" s="10">
        <v>296400</v>
      </c>
    </row>
    <row r="420" spans="1:10" x14ac:dyDescent="0.35">
      <c r="A420" s="36">
        <v>2026</v>
      </c>
      <c r="B420" s="35" t="s">
        <v>151</v>
      </c>
      <c r="C420" s="35" t="s">
        <v>214</v>
      </c>
      <c r="D420" s="4" t="s">
        <v>218</v>
      </c>
      <c r="E420" s="10">
        <v>92454.17</v>
      </c>
      <c r="H420" s="10">
        <v>92454.17</v>
      </c>
      <c r="I420" s="10">
        <v>1799</v>
      </c>
      <c r="J420" s="10">
        <v>90655.17</v>
      </c>
    </row>
    <row r="421" spans="1:10" x14ac:dyDescent="0.35">
      <c r="A421" s="36">
        <v>2026</v>
      </c>
      <c r="B421" s="35" t="s">
        <v>151</v>
      </c>
      <c r="C421" s="35" t="s">
        <v>214</v>
      </c>
      <c r="D421" s="4" t="s">
        <v>216</v>
      </c>
      <c r="E421" s="10">
        <v>404085.48</v>
      </c>
      <c r="F421" s="10">
        <v>315834.2</v>
      </c>
      <c r="H421" s="10">
        <v>88251.28</v>
      </c>
      <c r="I421" s="10">
        <v>32312.48</v>
      </c>
      <c r="J421" s="10">
        <v>55938.799999999974</v>
      </c>
    </row>
    <row r="422" spans="1:10" x14ac:dyDescent="0.35">
      <c r="A422" s="36">
        <v>2026</v>
      </c>
      <c r="B422" s="35" t="s">
        <v>151</v>
      </c>
      <c r="C422" s="35" t="s">
        <v>214</v>
      </c>
      <c r="D422" s="4" t="s">
        <v>220</v>
      </c>
      <c r="I422" s="10">
        <v>10796.17</v>
      </c>
      <c r="J422" s="10">
        <v>-10796.17</v>
      </c>
    </row>
    <row r="423" spans="1:10" x14ac:dyDescent="0.35">
      <c r="A423" s="36">
        <v>2026</v>
      </c>
      <c r="B423" s="35" t="s">
        <v>151</v>
      </c>
      <c r="C423" s="35" t="s">
        <v>186</v>
      </c>
      <c r="D423" s="5" t="s">
        <v>10</v>
      </c>
      <c r="E423" s="9">
        <v>3776884.0698999995</v>
      </c>
      <c r="F423" s="9">
        <v>1528475.67</v>
      </c>
      <c r="G423" s="9">
        <v>92586.16</v>
      </c>
      <c r="H423" s="9">
        <v>2155822.2400000002</v>
      </c>
      <c r="I423" s="9">
        <v>639301.32999999996</v>
      </c>
      <c r="J423" s="9">
        <v>1516520.9098999994</v>
      </c>
    </row>
    <row r="424" spans="1:10" x14ac:dyDescent="0.35">
      <c r="A424" s="36">
        <v>2026</v>
      </c>
      <c r="B424" s="35" t="s">
        <v>151</v>
      </c>
      <c r="C424" s="35" t="s">
        <v>186</v>
      </c>
      <c r="D424" s="4" t="s">
        <v>194</v>
      </c>
      <c r="E424" s="10">
        <v>1377500</v>
      </c>
      <c r="F424" s="10">
        <v>266992.21999999997</v>
      </c>
      <c r="H424" s="10">
        <v>1110507.78</v>
      </c>
      <c r="I424" s="10">
        <v>65011.97</v>
      </c>
      <c r="J424" s="10">
        <v>1045495.81</v>
      </c>
    </row>
    <row r="425" spans="1:10" x14ac:dyDescent="0.35">
      <c r="A425" s="36">
        <v>2026</v>
      </c>
      <c r="B425" s="35" t="s">
        <v>151</v>
      </c>
      <c r="C425" s="35" t="s">
        <v>186</v>
      </c>
      <c r="D425" s="4" t="s">
        <v>195</v>
      </c>
      <c r="E425" s="10">
        <v>1317608.2498999999</v>
      </c>
      <c r="F425" s="10">
        <v>666644.85</v>
      </c>
      <c r="G425" s="10">
        <v>92586.16</v>
      </c>
      <c r="H425" s="10">
        <v>558377.24</v>
      </c>
      <c r="I425" s="10">
        <v>235922.80000000002</v>
      </c>
      <c r="J425" s="10">
        <v>322454.43989999988</v>
      </c>
    </row>
    <row r="426" spans="1:10" x14ac:dyDescent="0.35">
      <c r="A426" s="36">
        <v>2026</v>
      </c>
      <c r="B426" s="35" t="s">
        <v>151</v>
      </c>
      <c r="C426" s="35" t="s">
        <v>186</v>
      </c>
      <c r="D426" s="4" t="s">
        <v>193</v>
      </c>
      <c r="E426" s="10">
        <v>486300</v>
      </c>
      <c r="H426" s="10">
        <v>486300</v>
      </c>
      <c r="I426" s="10">
        <v>148149.65</v>
      </c>
      <c r="J426" s="10">
        <v>338150.35</v>
      </c>
    </row>
    <row r="427" spans="1:10" x14ac:dyDescent="0.35">
      <c r="A427" s="36">
        <v>2026</v>
      </c>
      <c r="B427" s="35" t="s">
        <v>151</v>
      </c>
      <c r="C427" s="35" t="s">
        <v>186</v>
      </c>
      <c r="D427" s="4" t="s">
        <v>199</v>
      </c>
      <c r="E427" s="10">
        <v>156810.26</v>
      </c>
      <c r="F427" s="10">
        <v>111456.56</v>
      </c>
      <c r="H427" s="10">
        <v>45353.7</v>
      </c>
      <c r="I427" s="10">
        <v>56010.770000000004</v>
      </c>
      <c r="J427" s="10">
        <v>-10657.069999999992</v>
      </c>
    </row>
    <row r="428" spans="1:10" x14ac:dyDescent="0.35">
      <c r="A428" s="36">
        <v>2026</v>
      </c>
      <c r="B428" s="35" t="s">
        <v>151</v>
      </c>
      <c r="C428" s="35" t="s">
        <v>186</v>
      </c>
      <c r="D428" s="4" t="s">
        <v>197</v>
      </c>
      <c r="E428" s="10">
        <v>33500</v>
      </c>
      <c r="H428" s="10">
        <v>33500</v>
      </c>
      <c r="J428" s="10">
        <v>33500</v>
      </c>
    </row>
    <row r="429" spans="1:10" x14ac:dyDescent="0.35">
      <c r="A429" s="36">
        <v>2026</v>
      </c>
      <c r="B429" s="35" t="s">
        <v>151</v>
      </c>
      <c r="C429" s="35" t="s">
        <v>186</v>
      </c>
      <c r="D429" s="4" t="s">
        <v>192</v>
      </c>
      <c r="E429" s="10">
        <v>189320.84</v>
      </c>
      <c r="F429" s="10">
        <v>168246.94</v>
      </c>
      <c r="H429" s="10">
        <v>21073.9</v>
      </c>
      <c r="I429" s="10">
        <v>56493.770000000004</v>
      </c>
      <c r="J429" s="10">
        <v>-35419.87000000001</v>
      </c>
    </row>
    <row r="430" spans="1:10" x14ac:dyDescent="0.35">
      <c r="A430" s="36">
        <v>2026</v>
      </c>
      <c r="B430" s="35" t="s">
        <v>151</v>
      </c>
      <c r="C430" s="35" t="s">
        <v>186</v>
      </c>
      <c r="D430" s="4" t="s">
        <v>189</v>
      </c>
      <c r="E430" s="10">
        <v>27774.05</v>
      </c>
      <c r="F430" s="10">
        <v>15600</v>
      </c>
      <c r="H430" s="10">
        <v>12174.05</v>
      </c>
      <c r="I430" s="10">
        <v>2276.92</v>
      </c>
      <c r="J430" s="10">
        <v>9897.1299999999992</v>
      </c>
    </row>
    <row r="431" spans="1:10" x14ac:dyDescent="0.35">
      <c r="A431" s="36">
        <v>2026</v>
      </c>
      <c r="B431" s="35" t="s">
        <v>151</v>
      </c>
      <c r="C431" s="35" t="s">
        <v>186</v>
      </c>
      <c r="D431" s="4" t="s">
        <v>198</v>
      </c>
      <c r="E431" s="10">
        <v>179842.54999999996</v>
      </c>
      <c r="F431" s="10">
        <v>168337.31</v>
      </c>
      <c r="H431" s="10">
        <v>11505.24</v>
      </c>
      <c r="I431" s="10">
        <v>12120.66</v>
      </c>
      <c r="J431" s="10">
        <v>-615.42000000003827</v>
      </c>
    </row>
    <row r="432" spans="1:10" x14ac:dyDescent="0.35">
      <c r="A432" s="36">
        <v>2026</v>
      </c>
      <c r="B432" s="35" t="s">
        <v>151</v>
      </c>
      <c r="C432" s="35" t="s">
        <v>186</v>
      </c>
      <c r="D432" s="4" t="s">
        <v>196</v>
      </c>
      <c r="E432" s="10">
        <v>5433</v>
      </c>
      <c r="H432" s="10">
        <v>5433</v>
      </c>
      <c r="I432" s="10">
        <v>5433.0999999999995</v>
      </c>
      <c r="J432" s="10">
        <v>-9.9999999999454303E-2</v>
      </c>
    </row>
    <row r="433" spans="1:10" x14ac:dyDescent="0.35">
      <c r="A433" s="36">
        <v>2026</v>
      </c>
      <c r="B433" s="35" t="s">
        <v>151</v>
      </c>
      <c r="C433" s="35" t="s">
        <v>186</v>
      </c>
      <c r="D433" s="4" t="s">
        <v>191</v>
      </c>
      <c r="E433" s="10">
        <v>2557.12</v>
      </c>
      <c r="H433" s="10">
        <v>2557.12</v>
      </c>
      <c r="I433" s="10">
        <v>5849.55</v>
      </c>
      <c r="J433" s="10">
        <v>-3292.4300000000003</v>
      </c>
    </row>
    <row r="434" spans="1:10" x14ac:dyDescent="0.35">
      <c r="A434" s="36">
        <v>2026</v>
      </c>
      <c r="B434" s="35" t="s">
        <v>151</v>
      </c>
      <c r="C434" s="35" t="s">
        <v>186</v>
      </c>
      <c r="D434" s="4" t="s">
        <v>190</v>
      </c>
      <c r="E434" s="10">
        <v>238</v>
      </c>
      <c r="H434" s="10">
        <v>238</v>
      </c>
      <c r="I434" s="10">
        <v>7355.93</v>
      </c>
      <c r="J434" s="10">
        <v>-7117.93</v>
      </c>
    </row>
    <row r="435" spans="1:10" x14ac:dyDescent="0.35">
      <c r="A435" s="36">
        <v>2026</v>
      </c>
      <c r="B435" s="35" t="s">
        <v>151</v>
      </c>
      <c r="C435" s="35" t="s">
        <v>186</v>
      </c>
      <c r="D435" s="4" t="s">
        <v>188</v>
      </c>
      <c r="E435" s="10">
        <v>0</v>
      </c>
      <c r="H435" s="10">
        <v>0</v>
      </c>
      <c r="J435" s="10">
        <v>0</v>
      </c>
    </row>
    <row r="436" spans="1:10" x14ac:dyDescent="0.35">
      <c r="A436" s="36">
        <v>2026</v>
      </c>
      <c r="B436" s="35" t="s">
        <v>151</v>
      </c>
      <c r="C436" s="35" t="s">
        <v>186</v>
      </c>
      <c r="D436" s="4" t="s">
        <v>187</v>
      </c>
      <c r="E436" s="10">
        <v>0</v>
      </c>
      <c r="F436" s="10">
        <v>131197.79</v>
      </c>
      <c r="H436" s="10">
        <v>-131197.79</v>
      </c>
      <c r="I436" s="10">
        <v>44676.21</v>
      </c>
      <c r="J436" s="10">
        <v>-175874</v>
      </c>
    </row>
    <row r="437" spans="1:10" x14ac:dyDescent="0.35">
      <c r="A437" s="36">
        <v>2026</v>
      </c>
      <c r="B437" s="35" t="s">
        <v>151</v>
      </c>
      <c r="C437" s="35" t="s">
        <v>205</v>
      </c>
      <c r="D437" s="5" t="s">
        <v>10</v>
      </c>
      <c r="E437" s="9">
        <v>3168889.4200000004</v>
      </c>
      <c r="F437" s="9">
        <v>1020498.9999999999</v>
      </c>
      <c r="G437" s="9">
        <v>0</v>
      </c>
      <c r="H437" s="9">
        <v>2148390.42</v>
      </c>
      <c r="I437" s="9">
        <v>206838.76</v>
      </c>
      <c r="J437" s="9">
        <v>1941551.6600000004</v>
      </c>
    </row>
    <row r="438" spans="1:10" x14ac:dyDescent="0.35">
      <c r="A438" s="36">
        <v>2026</v>
      </c>
      <c r="B438" s="35" t="s">
        <v>151</v>
      </c>
      <c r="C438" s="35" t="s">
        <v>205</v>
      </c>
      <c r="D438" s="4" t="s">
        <v>208</v>
      </c>
      <c r="E438" s="10">
        <v>2485258.9200000004</v>
      </c>
      <c r="F438" s="10">
        <v>225503.58000000005</v>
      </c>
      <c r="H438" s="10">
        <v>2259755.34</v>
      </c>
      <c r="I438" s="10">
        <v>111520.18000000001</v>
      </c>
      <c r="J438" s="10">
        <v>2148235.16</v>
      </c>
    </row>
    <row r="439" spans="1:10" x14ac:dyDescent="0.35">
      <c r="A439" s="36">
        <v>2026</v>
      </c>
      <c r="B439" s="35" t="s">
        <v>151</v>
      </c>
      <c r="C439" s="35" t="s">
        <v>205</v>
      </c>
      <c r="D439" s="4" t="s">
        <v>209</v>
      </c>
      <c r="I439" s="10">
        <v>0.01</v>
      </c>
      <c r="J439" s="10">
        <v>-0.01</v>
      </c>
    </row>
    <row r="440" spans="1:10" x14ac:dyDescent="0.35">
      <c r="A440" s="36">
        <v>2026</v>
      </c>
      <c r="B440" s="35" t="s">
        <v>151</v>
      </c>
      <c r="C440" s="35" t="s">
        <v>205</v>
      </c>
      <c r="D440" s="4" t="s">
        <v>210</v>
      </c>
      <c r="I440" s="10">
        <v>0.04</v>
      </c>
      <c r="J440" s="10">
        <v>-0.04</v>
      </c>
    </row>
    <row r="441" spans="1:10" x14ac:dyDescent="0.35">
      <c r="A441" s="36">
        <v>2026</v>
      </c>
      <c r="B441" s="35" t="s">
        <v>151</v>
      </c>
      <c r="C441" s="35" t="s">
        <v>205</v>
      </c>
      <c r="D441" s="4" t="s">
        <v>206</v>
      </c>
      <c r="E441" s="10">
        <v>12067.19</v>
      </c>
      <c r="F441" s="10">
        <v>18900.060000000001</v>
      </c>
      <c r="H441" s="10">
        <v>-6832.87</v>
      </c>
      <c r="I441" s="10">
        <v>2584.1999999999998</v>
      </c>
      <c r="J441" s="10">
        <v>-9417.07</v>
      </c>
    </row>
    <row r="442" spans="1:10" x14ac:dyDescent="0.35">
      <c r="A442" s="36">
        <v>2026</v>
      </c>
      <c r="B442" s="35" t="s">
        <v>151</v>
      </c>
      <c r="C442" s="35" t="s">
        <v>205</v>
      </c>
      <c r="D442" s="4" t="s">
        <v>207</v>
      </c>
      <c r="E442" s="10">
        <v>671563.31</v>
      </c>
      <c r="F442" s="10">
        <v>776095.35999999987</v>
      </c>
      <c r="G442" s="10">
        <v>0</v>
      </c>
      <c r="H442" s="10">
        <v>-104532.05</v>
      </c>
      <c r="I442" s="10">
        <v>92734.33</v>
      </c>
      <c r="J442" s="10">
        <v>-197266.37999999995</v>
      </c>
    </row>
    <row r="443" spans="1:10" x14ac:dyDescent="0.35">
      <c r="A443" s="36">
        <v>2026</v>
      </c>
      <c r="B443" s="35" t="s">
        <v>151</v>
      </c>
      <c r="C443" s="35" t="s">
        <v>142</v>
      </c>
      <c r="D443" s="5" t="s">
        <v>10</v>
      </c>
      <c r="E443" s="9">
        <v>21055</v>
      </c>
      <c r="F443" s="9"/>
      <c r="G443" s="9"/>
      <c r="H443" s="9">
        <v>21055</v>
      </c>
      <c r="I443" s="9">
        <v>23576.370000000003</v>
      </c>
      <c r="J443" s="9">
        <v>-2521.3700000000026</v>
      </c>
    </row>
    <row r="444" spans="1:10" x14ac:dyDescent="0.35">
      <c r="A444" s="36">
        <v>2026</v>
      </c>
      <c r="B444" s="35" t="s">
        <v>151</v>
      </c>
      <c r="C444" s="35" t="s">
        <v>142</v>
      </c>
      <c r="D444" s="4" t="s">
        <v>201</v>
      </c>
      <c r="E444" s="10">
        <v>15913</v>
      </c>
      <c r="H444" s="10">
        <v>15913</v>
      </c>
      <c r="I444" s="10">
        <v>15913.330000000002</v>
      </c>
      <c r="J444" s="10">
        <v>-0.33000000000174623</v>
      </c>
    </row>
    <row r="445" spans="1:10" x14ac:dyDescent="0.35">
      <c r="A445" s="36">
        <v>2026</v>
      </c>
      <c r="B445" s="35" t="s">
        <v>151</v>
      </c>
      <c r="C445" s="35" t="s">
        <v>142</v>
      </c>
      <c r="D445" s="4" t="s">
        <v>200</v>
      </c>
      <c r="E445" s="10">
        <v>4264</v>
      </c>
      <c r="H445" s="10">
        <v>4264</v>
      </c>
      <c r="I445" s="10">
        <v>4263.84</v>
      </c>
      <c r="J445" s="10">
        <v>0.15999999999985448</v>
      </c>
    </row>
    <row r="446" spans="1:10" x14ac:dyDescent="0.35">
      <c r="A446" s="36">
        <v>2026</v>
      </c>
      <c r="B446" s="35" t="s">
        <v>151</v>
      </c>
      <c r="C446" s="35" t="s">
        <v>142</v>
      </c>
      <c r="D446" s="4" t="s">
        <v>202</v>
      </c>
      <c r="E446" s="10">
        <v>878</v>
      </c>
      <c r="H446" s="10">
        <v>878</v>
      </c>
      <c r="I446" s="10">
        <v>3399.2</v>
      </c>
      <c r="J446" s="10">
        <v>-2521.1999999999998</v>
      </c>
    </row>
    <row r="447" spans="1:10" x14ac:dyDescent="0.35">
      <c r="A447" s="36">
        <v>2026</v>
      </c>
      <c r="B447" s="35" t="s">
        <v>151</v>
      </c>
      <c r="C447" s="35" t="s">
        <v>211</v>
      </c>
      <c r="D447" s="5" t="s">
        <v>10</v>
      </c>
      <c r="E447" s="9">
        <v>13903.27</v>
      </c>
      <c r="F447" s="9"/>
      <c r="G447" s="9"/>
      <c r="H447" s="9">
        <v>13903.27</v>
      </c>
      <c r="I447" s="9">
        <v>1645.18</v>
      </c>
      <c r="J447" s="9">
        <v>12258.09</v>
      </c>
    </row>
    <row r="448" spans="1:10" x14ac:dyDescent="0.35">
      <c r="A448" s="36">
        <v>2026</v>
      </c>
      <c r="B448" s="35" t="s">
        <v>151</v>
      </c>
      <c r="C448" s="35" t="s">
        <v>211</v>
      </c>
      <c r="D448" s="4" t="s">
        <v>212</v>
      </c>
      <c r="E448" s="10">
        <v>13903.27</v>
      </c>
      <c r="H448" s="10">
        <v>13903.27</v>
      </c>
      <c r="I448" s="10">
        <v>24.73</v>
      </c>
      <c r="J448" s="10">
        <v>13878.54</v>
      </c>
    </row>
    <row r="449" spans="1:10" x14ac:dyDescent="0.35">
      <c r="A449" s="36">
        <v>2026</v>
      </c>
      <c r="B449" s="35" t="s">
        <v>151</v>
      </c>
      <c r="C449" s="35" t="s">
        <v>211</v>
      </c>
      <c r="D449" s="4" t="s">
        <v>213</v>
      </c>
      <c r="I449" s="10">
        <v>1620.45</v>
      </c>
      <c r="J449" s="10">
        <v>-1620.45</v>
      </c>
    </row>
    <row r="450" spans="1:10" x14ac:dyDescent="0.35">
      <c r="A450" s="36">
        <v>2026</v>
      </c>
      <c r="B450" s="35" t="s">
        <v>151</v>
      </c>
      <c r="C450" s="35" t="s">
        <v>203</v>
      </c>
      <c r="D450" s="5" t="s">
        <v>10</v>
      </c>
      <c r="E450" s="9">
        <v>2744</v>
      </c>
      <c r="F450" s="9"/>
      <c r="G450" s="9"/>
      <c r="H450" s="9">
        <v>2744</v>
      </c>
      <c r="I450" s="9">
        <v>2744</v>
      </c>
      <c r="J450" s="9">
        <v>0</v>
      </c>
    </row>
    <row r="451" spans="1:10" x14ac:dyDescent="0.35">
      <c r="A451" s="36">
        <v>2026</v>
      </c>
      <c r="B451" s="35" t="s">
        <v>151</v>
      </c>
      <c r="C451" s="35" t="s">
        <v>203</v>
      </c>
      <c r="D451" s="4" t="s">
        <v>204</v>
      </c>
      <c r="E451" s="10">
        <v>2744</v>
      </c>
      <c r="H451" s="10">
        <v>2744</v>
      </c>
      <c r="I451" s="10">
        <v>2744</v>
      </c>
      <c r="J451" s="10">
        <v>0</v>
      </c>
    </row>
    <row r="452" spans="1:10" x14ac:dyDescent="0.35">
      <c r="A452" s="36">
        <v>2026</v>
      </c>
      <c r="B452" s="35" t="s">
        <v>221</v>
      </c>
      <c r="C452" s="37" t="s">
        <v>10</v>
      </c>
      <c r="D452" s="39"/>
      <c r="E452" s="9">
        <v>6944833.7000999991</v>
      </c>
      <c r="F452" s="9">
        <v>3657189.2</v>
      </c>
      <c r="G452" s="9">
        <v>96474.17</v>
      </c>
      <c r="H452" s="9">
        <v>3191170.33</v>
      </c>
      <c r="I452" s="9">
        <v>2552562.6400000006</v>
      </c>
      <c r="J452" s="9">
        <v>638607.69009999884</v>
      </c>
    </row>
    <row r="453" spans="1:10" x14ac:dyDescent="0.35">
      <c r="A453" s="36">
        <v>2026</v>
      </c>
      <c r="B453" s="35" t="s">
        <v>221</v>
      </c>
      <c r="C453" s="35" t="s">
        <v>224</v>
      </c>
      <c r="D453" s="5" t="s">
        <v>10</v>
      </c>
      <c r="E453" s="9">
        <v>2028967.5101000001</v>
      </c>
      <c r="F453" s="9">
        <v>783146.84</v>
      </c>
      <c r="G453" s="9">
        <v>20458</v>
      </c>
      <c r="H453" s="9">
        <v>1225362.67</v>
      </c>
      <c r="I453" s="9">
        <v>560419.37</v>
      </c>
      <c r="J453" s="9">
        <v>664943.30010000023</v>
      </c>
    </row>
    <row r="454" spans="1:10" x14ac:dyDescent="0.35">
      <c r="A454" s="36">
        <v>2026</v>
      </c>
      <c r="B454" s="35" t="s">
        <v>221</v>
      </c>
      <c r="C454" s="35" t="s">
        <v>224</v>
      </c>
      <c r="D454" s="4" t="s">
        <v>226</v>
      </c>
      <c r="E454" s="10">
        <v>650000</v>
      </c>
      <c r="F454" s="10">
        <v>31930</v>
      </c>
      <c r="H454" s="10">
        <v>618070</v>
      </c>
      <c r="I454" s="10">
        <v>148635</v>
      </c>
      <c r="J454" s="10">
        <v>469435</v>
      </c>
    </row>
    <row r="455" spans="1:10" x14ac:dyDescent="0.35">
      <c r="A455" s="36">
        <v>2026</v>
      </c>
      <c r="B455" s="35" t="s">
        <v>221</v>
      </c>
      <c r="C455" s="35" t="s">
        <v>224</v>
      </c>
      <c r="D455" s="4" t="s">
        <v>228</v>
      </c>
      <c r="E455" s="10">
        <v>643033.93999999994</v>
      </c>
      <c r="F455" s="10">
        <v>170939.89</v>
      </c>
      <c r="H455" s="10">
        <v>472094.05</v>
      </c>
      <c r="I455" s="10">
        <v>12684.68</v>
      </c>
      <c r="J455" s="10">
        <v>459409.36999999994</v>
      </c>
    </row>
    <row r="456" spans="1:10" x14ac:dyDescent="0.35">
      <c r="A456" s="36">
        <v>2026</v>
      </c>
      <c r="B456" s="35" t="s">
        <v>221</v>
      </c>
      <c r="C456" s="35" t="s">
        <v>224</v>
      </c>
      <c r="D456" s="4" t="s">
        <v>227</v>
      </c>
      <c r="E456" s="10">
        <v>470549.0001</v>
      </c>
      <c r="F456" s="10">
        <v>380230.38</v>
      </c>
      <c r="H456" s="10">
        <v>90318.62</v>
      </c>
      <c r="I456" s="10">
        <v>159469.66999999998</v>
      </c>
      <c r="J456" s="10">
        <v>-69151.049899999984</v>
      </c>
    </row>
    <row r="457" spans="1:10" x14ac:dyDescent="0.35">
      <c r="A457" s="36">
        <v>2026</v>
      </c>
      <c r="B457" s="35" t="s">
        <v>221</v>
      </c>
      <c r="C457" s="35" t="s">
        <v>224</v>
      </c>
      <c r="D457" s="4" t="s">
        <v>225</v>
      </c>
      <c r="E457" s="10">
        <v>116673</v>
      </c>
      <c r="F457" s="10">
        <v>40916</v>
      </c>
      <c r="G457" s="10">
        <v>20458</v>
      </c>
      <c r="H457" s="10">
        <v>55299</v>
      </c>
      <c r="I457" s="10">
        <v>239421</v>
      </c>
      <c r="J457" s="10">
        <v>-184122</v>
      </c>
    </row>
    <row r="458" spans="1:10" x14ac:dyDescent="0.35">
      <c r="A458" s="36">
        <v>2026</v>
      </c>
      <c r="B458" s="35" t="s">
        <v>221</v>
      </c>
      <c r="C458" s="35" t="s">
        <v>224</v>
      </c>
      <c r="D458" s="4" t="s">
        <v>229</v>
      </c>
      <c r="E458" s="10">
        <v>148711.57</v>
      </c>
      <c r="F458" s="10">
        <v>159130.57</v>
      </c>
      <c r="H458" s="10">
        <v>-10419</v>
      </c>
      <c r="I458" s="10">
        <v>209.02</v>
      </c>
      <c r="J458" s="10">
        <v>-10628.02</v>
      </c>
    </row>
    <row r="459" spans="1:10" x14ac:dyDescent="0.35">
      <c r="A459" s="36">
        <v>2026</v>
      </c>
      <c r="B459" s="35" t="s">
        <v>221</v>
      </c>
      <c r="C459" s="35" t="s">
        <v>222</v>
      </c>
      <c r="D459" s="5" t="s">
        <v>10</v>
      </c>
      <c r="E459" s="9">
        <v>2595423.19</v>
      </c>
      <c r="F459" s="9">
        <v>1537724.1300000001</v>
      </c>
      <c r="G459" s="9"/>
      <c r="H459" s="9">
        <v>1057699.06</v>
      </c>
      <c r="I459" s="9">
        <v>1254522.3400000001</v>
      </c>
      <c r="J459" s="9">
        <v>-196823.28000000003</v>
      </c>
    </row>
    <row r="460" spans="1:10" x14ac:dyDescent="0.35">
      <c r="A460" s="36">
        <v>2026</v>
      </c>
      <c r="B460" s="35" t="s">
        <v>221</v>
      </c>
      <c r="C460" s="35" t="s">
        <v>222</v>
      </c>
      <c r="D460" s="4" t="s">
        <v>223</v>
      </c>
      <c r="E460" s="10">
        <v>2595423.19</v>
      </c>
      <c r="F460" s="10">
        <v>1537724.1300000001</v>
      </c>
      <c r="H460" s="10">
        <v>1057699.06</v>
      </c>
      <c r="I460" s="10">
        <v>1254522.3400000001</v>
      </c>
      <c r="J460" s="10">
        <v>-196823.28000000003</v>
      </c>
    </row>
    <row r="461" spans="1:10" x14ac:dyDescent="0.35">
      <c r="A461" s="36">
        <v>2026</v>
      </c>
      <c r="B461" s="35" t="s">
        <v>221</v>
      </c>
      <c r="C461" s="35" t="s">
        <v>234</v>
      </c>
      <c r="D461" s="5" t="s">
        <v>10</v>
      </c>
      <c r="E461" s="9">
        <v>900000</v>
      </c>
      <c r="F461" s="9">
        <v>277332.64</v>
      </c>
      <c r="G461" s="9">
        <v>20409.62</v>
      </c>
      <c r="H461" s="9">
        <v>602257.74</v>
      </c>
      <c r="I461" s="9">
        <v>231982.74</v>
      </c>
      <c r="J461" s="9">
        <v>370275</v>
      </c>
    </row>
    <row r="462" spans="1:10" x14ac:dyDescent="0.35">
      <c r="A462" s="36">
        <v>2026</v>
      </c>
      <c r="B462" s="35" t="s">
        <v>221</v>
      </c>
      <c r="C462" s="35" t="s">
        <v>234</v>
      </c>
      <c r="D462" s="4" t="s">
        <v>235</v>
      </c>
      <c r="E462" s="10">
        <v>430000</v>
      </c>
      <c r="F462" s="10">
        <v>14970.48</v>
      </c>
      <c r="G462" s="10">
        <v>20409.62</v>
      </c>
      <c r="H462" s="10">
        <v>394619.9</v>
      </c>
      <c r="I462" s="10">
        <v>24344.9</v>
      </c>
      <c r="J462" s="10">
        <v>370275</v>
      </c>
    </row>
    <row r="463" spans="1:10" x14ac:dyDescent="0.35">
      <c r="A463" s="36">
        <v>2026</v>
      </c>
      <c r="B463" s="35" t="s">
        <v>221</v>
      </c>
      <c r="C463" s="35" t="s">
        <v>234</v>
      </c>
      <c r="D463" s="4" t="s">
        <v>236</v>
      </c>
      <c r="E463" s="10">
        <v>470000</v>
      </c>
      <c r="F463" s="10">
        <v>262362.15999999997</v>
      </c>
      <c r="H463" s="10">
        <v>207637.84</v>
      </c>
      <c r="I463" s="10">
        <v>207637.84</v>
      </c>
      <c r="J463" s="10">
        <v>2.9103830456733704E-11</v>
      </c>
    </row>
    <row r="464" spans="1:10" x14ac:dyDescent="0.35">
      <c r="A464" s="36">
        <v>2026</v>
      </c>
      <c r="B464" s="35" t="s">
        <v>221</v>
      </c>
      <c r="C464" s="35" t="s">
        <v>66</v>
      </c>
      <c r="D464" s="5" t="s">
        <v>10</v>
      </c>
      <c r="E464" s="9">
        <v>856000</v>
      </c>
      <c r="F464" s="9">
        <v>669985.59</v>
      </c>
      <c r="G464" s="9">
        <v>30606.55</v>
      </c>
      <c r="H464" s="9">
        <v>155407.85999999999</v>
      </c>
      <c r="I464" s="9">
        <v>2552.33</v>
      </c>
      <c r="J464" s="9">
        <v>152855.53</v>
      </c>
    </row>
    <row r="465" spans="1:10" x14ac:dyDescent="0.35">
      <c r="A465" s="36">
        <v>2026</v>
      </c>
      <c r="B465" s="35" t="s">
        <v>221</v>
      </c>
      <c r="C465" s="35" t="s">
        <v>66</v>
      </c>
      <c r="D465" s="4" t="s">
        <v>233</v>
      </c>
      <c r="E465" s="10">
        <v>856000</v>
      </c>
      <c r="F465" s="10">
        <v>669985.59</v>
      </c>
      <c r="G465" s="10">
        <v>30606.55</v>
      </c>
      <c r="H465" s="10">
        <v>155407.85999999999</v>
      </c>
      <c r="I465" s="10">
        <v>2552.33</v>
      </c>
      <c r="J465" s="10">
        <v>152855.53</v>
      </c>
    </row>
    <row r="466" spans="1:10" x14ac:dyDescent="0.35">
      <c r="A466" s="36">
        <v>2026</v>
      </c>
      <c r="B466" s="35" t="s">
        <v>221</v>
      </c>
      <c r="C466" s="35" t="s">
        <v>230</v>
      </c>
      <c r="D466" s="5" t="s">
        <v>10</v>
      </c>
      <c r="E466" s="9">
        <v>564443</v>
      </c>
      <c r="F466" s="9">
        <v>389000</v>
      </c>
      <c r="G466" s="9">
        <v>25000</v>
      </c>
      <c r="H466" s="9">
        <v>150443</v>
      </c>
      <c r="I466" s="9">
        <v>150443</v>
      </c>
      <c r="J466" s="9">
        <v>0</v>
      </c>
    </row>
    <row r="467" spans="1:10" x14ac:dyDescent="0.35">
      <c r="A467" s="36">
        <v>2026</v>
      </c>
      <c r="B467" s="35" t="s">
        <v>221</v>
      </c>
      <c r="C467" s="35" t="s">
        <v>230</v>
      </c>
      <c r="D467" s="4" t="s">
        <v>232</v>
      </c>
      <c r="E467" s="10">
        <v>470000</v>
      </c>
      <c r="F467" s="10">
        <v>320000</v>
      </c>
      <c r="G467" s="10">
        <v>25000</v>
      </c>
      <c r="H467" s="10">
        <v>125000</v>
      </c>
      <c r="I467" s="10">
        <v>125000</v>
      </c>
      <c r="J467" s="10">
        <v>0</v>
      </c>
    </row>
    <row r="468" spans="1:10" x14ac:dyDescent="0.35">
      <c r="A468" s="36">
        <v>2026</v>
      </c>
      <c r="B468" s="35" t="s">
        <v>221</v>
      </c>
      <c r="C468" s="35" t="s">
        <v>230</v>
      </c>
      <c r="D468" s="4" t="s">
        <v>231</v>
      </c>
      <c r="E468" s="10">
        <v>94443</v>
      </c>
      <c r="F468" s="10">
        <v>69000</v>
      </c>
      <c r="H468" s="10">
        <v>25443</v>
      </c>
      <c r="I468" s="10">
        <v>25443</v>
      </c>
      <c r="J468" s="10">
        <v>0</v>
      </c>
    </row>
    <row r="469" spans="1:10" x14ac:dyDescent="0.35">
      <c r="A469" s="36">
        <v>2026</v>
      </c>
      <c r="B469" s="35" t="s">
        <v>221</v>
      </c>
      <c r="C469" s="35" t="s">
        <v>237</v>
      </c>
      <c r="D469" s="5" t="s">
        <v>10</v>
      </c>
      <c r="E469" s="9"/>
      <c r="F469" s="9"/>
      <c r="G469" s="9"/>
      <c r="H469" s="9"/>
      <c r="I469" s="9">
        <v>59685.5</v>
      </c>
      <c r="J469" s="9">
        <v>-59685.5</v>
      </c>
    </row>
    <row r="470" spans="1:10" x14ac:dyDescent="0.35">
      <c r="A470" s="36">
        <v>2026</v>
      </c>
      <c r="B470" s="35" t="s">
        <v>221</v>
      </c>
      <c r="C470" s="35" t="s">
        <v>237</v>
      </c>
      <c r="D470" s="4" t="s">
        <v>238</v>
      </c>
      <c r="I470" s="10">
        <v>59685.5</v>
      </c>
      <c r="J470" s="10">
        <v>-59685.5</v>
      </c>
    </row>
    <row r="471" spans="1:10" x14ac:dyDescent="0.35">
      <c r="A471" s="36">
        <v>2026</v>
      </c>
      <c r="B471" s="35" t="s">
        <v>221</v>
      </c>
      <c r="C471" s="35" t="s">
        <v>239</v>
      </c>
      <c r="D471" s="5" t="s">
        <v>10</v>
      </c>
      <c r="E471" s="9"/>
      <c r="F471" s="9"/>
      <c r="G471" s="9"/>
      <c r="H471" s="9"/>
      <c r="I471" s="9">
        <v>0</v>
      </c>
      <c r="J471" s="9">
        <v>0</v>
      </c>
    </row>
    <row r="472" spans="1:10" x14ac:dyDescent="0.35">
      <c r="A472" s="36">
        <v>2026</v>
      </c>
      <c r="B472" s="35" t="s">
        <v>221</v>
      </c>
      <c r="C472" s="35" t="s">
        <v>239</v>
      </c>
      <c r="D472" s="4" t="s">
        <v>240</v>
      </c>
      <c r="I472" s="10">
        <v>0</v>
      </c>
      <c r="J472" s="10">
        <v>0</v>
      </c>
    </row>
    <row r="473" spans="1:10" x14ac:dyDescent="0.35">
      <c r="A473" s="36">
        <v>2026</v>
      </c>
      <c r="B473" s="35" t="s">
        <v>221</v>
      </c>
      <c r="C473" s="35" t="s">
        <v>241</v>
      </c>
      <c r="D473" s="5" t="s">
        <v>10</v>
      </c>
      <c r="E473" s="9"/>
      <c r="F473" s="9"/>
      <c r="G473" s="9"/>
      <c r="H473" s="9"/>
      <c r="I473" s="9">
        <v>292957.36</v>
      </c>
      <c r="J473" s="9">
        <v>-292957.36</v>
      </c>
    </row>
    <row r="474" spans="1:10" x14ac:dyDescent="0.35">
      <c r="A474" s="36">
        <v>2026</v>
      </c>
      <c r="B474" s="35" t="s">
        <v>221</v>
      </c>
      <c r="C474" s="35" t="s">
        <v>241</v>
      </c>
      <c r="D474" s="4" t="s">
        <v>242</v>
      </c>
      <c r="I474" s="10">
        <v>7391.92</v>
      </c>
      <c r="J474" s="10">
        <v>-7391.92</v>
      </c>
    </row>
    <row r="475" spans="1:10" x14ac:dyDescent="0.35">
      <c r="A475" s="36">
        <v>2026</v>
      </c>
      <c r="B475" s="35" t="s">
        <v>221</v>
      </c>
      <c r="C475" s="35" t="s">
        <v>241</v>
      </c>
      <c r="D475" s="4" t="s">
        <v>243</v>
      </c>
      <c r="I475" s="10">
        <v>285565.44</v>
      </c>
      <c r="J475" s="10">
        <v>-285565.44</v>
      </c>
    </row>
    <row r="476" spans="1:10" x14ac:dyDescent="0.35">
      <c r="A476" s="36">
        <v>2026</v>
      </c>
      <c r="B476" s="35" t="s">
        <v>221</v>
      </c>
      <c r="C476" s="35" t="s">
        <v>244</v>
      </c>
      <c r="D476" s="5" t="s">
        <v>10</v>
      </c>
      <c r="E476" s="9"/>
      <c r="F476" s="9"/>
      <c r="G476" s="9"/>
      <c r="H476" s="9"/>
      <c r="I476" s="9">
        <v>0</v>
      </c>
      <c r="J476" s="9">
        <v>0</v>
      </c>
    </row>
    <row r="477" spans="1:10" x14ac:dyDescent="0.35">
      <c r="A477" s="36">
        <v>2026</v>
      </c>
      <c r="B477" s="35" t="s">
        <v>221</v>
      </c>
      <c r="C477" s="35" t="s">
        <v>244</v>
      </c>
      <c r="D477" s="4" t="s">
        <v>245</v>
      </c>
      <c r="I477" s="10">
        <v>0</v>
      </c>
      <c r="J477" s="10">
        <v>0</v>
      </c>
    </row>
    <row r="478" spans="1:10" x14ac:dyDescent="0.35">
      <c r="A478" s="37" t="s">
        <v>10</v>
      </c>
      <c r="B478" s="38"/>
      <c r="C478" s="38"/>
      <c r="D478" s="39"/>
      <c r="E478" s="9">
        <v>251627896.24960005</v>
      </c>
      <c r="F478" s="9">
        <v>48633309.729999997</v>
      </c>
      <c r="G478" s="9">
        <v>5114470.38</v>
      </c>
      <c r="H478" s="9">
        <v>197880116.13999999</v>
      </c>
      <c r="I478" s="9">
        <v>46652308.160000011</v>
      </c>
      <c r="J478" s="9">
        <v>151227807.97960007</v>
      </c>
    </row>
    <row r="480" spans="1:10" x14ac:dyDescent="0.35">
      <c r="A480" t="s">
        <v>246</v>
      </c>
    </row>
  </sheetData>
  <mergeCells count="75">
    <mergeCell ref="B2:D2"/>
    <mergeCell ref="C3:D3"/>
    <mergeCell ref="C4:C6"/>
    <mergeCell ref="C7:C10"/>
    <mergeCell ref="C11:C20"/>
    <mergeCell ref="C132:C133"/>
    <mergeCell ref="C134:C137"/>
    <mergeCell ref="C138:C140"/>
    <mergeCell ref="C141:C142"/>
    <mergeCell ref="B3:B142"/>
    <mergeCell ref="C21:C57"/>
    <mergeCell ref="C58:C83"/>
    <mergeCell ref="C84:C106"/>
    <mergeCell ref="C107:C129"/>
    <mergeCell ref="C130:C131"/>
    <mergeCell ref="C198:C203"/>
    <mergeCell ref="C204:C206"/>
    <mergeCell ref="C207:C213"/>
    <mergeCell ref="B143:B213"/>
    <mergeCell ref="C143:D143"/>
    <mergeCell ref="C144:C158"/>
    <mergeCell ref="C159:C177"/>
    <mergeCell ref="C178:C191"/>
    <mergeCell ref="C192:C195"/>
    <mergeCell ref="B214:B239"/>
    <mergeCell ref="A2:A239"/>
    <mergeCell ref="B240:D240"/>
    <mergeCell ref="C241:D241"/>
    <mergeCell ref="C242:C264"/>
    <mergeCell ref="C228:C230"/>
    <mergeCell ref="C231:C232"/>
    <mergeCell ref="C233:C234"/>
    <mergeCell ref="C235:C237"/>
    <mergeCell ref="C238:C239"/>
    <mergeCell ref="C214:D214"/>
    <mergeCell ref="C215:C216"/>
    <mergeCell ref="C217:C222"/>
    <mergeCell ref="C223:C225"/>
    <mergeCell ref="C226:C227"/>
    <mergeCell ref="C196:C197"/>
    <mergeCell ref="B241:B380"/>
    <mergeCell ref="C381:D381"/>
    <mergeCell ref="C382:C400"/>
    <mergeCell ref="C401:C415"/>
    <mergeCell ref="C364:C365"/>
    <mergeCell ref="C366:C367"/>
    <mergeCell ref="C368:C369"/>
    <mergeCell ref="C370:C373"/>
    <mergeCell ref="C374:C376"/>
    <mergeCell ref="C265:C290"/>
    <mergeCell ref="C291:C327"/>
    <mergeCell ref="C328:C350"/>
    <mergeCell ref="C351:C360"/>
    <mergeCell ref="C361:C363"/>
    <mergeCell ref="C423:C436"/>
    <mergeCell ref="C437:C442"/>
    <mergeCell ref="C443:C446"/>
    <mergeCell ref="C447:C449"/>
    <mergeCell ref="C377:C380"/>
    <mergeCell ref="C473:C475"/>
    <mergeCell ref="C476:C477"/>
    <mergeCell ref="B452:B477"/>
    <mergeCell ref="A240:A477"/>
    <mergeCell ref="A478:D478"/>
    <mergeCell ref="C461:C463"/>
    <mergeCell ref="C464:C465"/>
    <mergeCell ref="C466:C468"/>
    <mergeCell ref="C469:C470"/>
    <mergeCell ref="C471:C472"/>
    <mergeCell ref="C450:C451"/>
    <mergeCell ref="B381:B451"/>
    <mergeCell ref="C452:D452"/>
    <mergeCell ref="C453:C458"/>
    <mergeCell ref="C459:C460"/>
    <mergeCell ref="C416:C42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FA4B-9D05-4F51-B181-D20186DE83E9}">
  <dimension ref="A1:D5"/>
  <sheetViews>
    <sheetView workbookViewId="0">
      <selection activeCell="D12" sqref="D12"/>
    </sheetView>
  </sheetViews>
  <sheetFormatPr defaultRowHeight="14.5" x14ac:dyDescent="0.35"/>
  <cols>
    <col min="1" max="1" width="21.36328125" bestFit="1" customWidth="1"/>
    <col min="2" max="2" width="25.26953125" bestFit="1" customWidth="1"/>
    <col min="3" max="3" width="14.453125" bestFit="1" customWidth="1"/>
    <col min="4" max="4" width="21.90625" bestFit="1" customWidth="1"/>
  </cols>
  <sheetData>
    <row r="1" spans="1:4" x14ac:dyDescent="0.35">
      <c r="A1" s="11" t="s">
        <v>247</v>
      </c>
      <c r="B1" s="11" t="s">
        <v>1</v>
      </c>
      <c r="C1" s="11" t="s">
        <v>248</v>
      </c>
      <c r="D1" t="s">
        <v>249</v>
      </c>
    </row>
    <row r="2" spans="1:4" x14ac:dyDescent="0.35">
      <c r="A2" t="s">
        <v>250</v>
      </c>
      <c r="B2" t="s">
        <v>11</v>
      </c>
      <c r="C2" t="s">
        <v>251</v>
      </c>
      <c r="D2" t="s">
        <v>252</v>
      </c>
    </row>
    <row r="3" spans="1:4" x14ac:dyDescent="0.35">
      <c r="A3" t="s">
        <v>250</v>
      </c>
      <c r="B3" t="s">
        <v>151</v>
      </c>
      <c r="C3" t="s">
        <v>253</v>
      </c>
      <c r="D3" t="s">
        <v>254</v>
      </c>
    </row>
    <row r="4" spans="1:4" x14ac:dyDescent="0.35">
      <c r="A4" t="s">
        <v>250</v>
      </c>
      <c r="B4" t="s">
        <v>221</v>
      </c>
      <c r="C4" t="s">
        <v>255</v>
      </c>
      <c r="D4" t="s">
        <v>237</v>
      </c>
    </row>
    <row r="5" spans="1:4" x14ac:dyDescent="0.35">
      <c r="A5" t="s">
        <v>250</v>
      </c>
      <c r="B5" t="s">
        <v>272</v>
      </c>
      <c r="C5" t="s">
        <v>276</v>
      </c>
      <c r="D5" t="s">
        <v>277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890D-31C1-433B-9312-11B38A4C050C}">
  <dimension ref="A1:K61"/>
  <sheetViews>
    <sheetView topLeftCell="C1" zoomScale="70" zoomScaleNormal="70" workbookViewId="0">
      <selection activeCell="H16" sqref="H16"/>
    </sheetView>
  </sheetViews>
  <sheetFormatPr defaultRowHeight="14.5" x14ac:dyDescent="0.35"/>
  <cols>
    <col min="1" max="1" width="90.26953125" bestFit="1" customWidth="1"/>
    <col min="2" max="2" width="51.54296875" bestFit="1" customWidth="1"/>
    <col min="3" max="3" width="29.54296875" customWidth="1"/>
    <col min="4" max="4" width="14.08984375" bestFit="1" customWidth="1"/>
    <col min="5" max="5" width="18.36328125" customWidth="1"/>
    <col min="6" max="6" width="12.81640625" bestFit="1" customWidth="1"/>
    <col min="7" max="7" width="17.1796875" bestFit="1" customWidth="1"/>
    <col min="8" max="8" width="11.6328125" bestFit="1" customWidth="1"/>
    <col min="9" max="9" width="18.7265625" bestFit="1" customWidth="1"/>
    <col min="10" max="10" width="18.1796875" customWidth="1"/>
    <col min="11" max="11" width="21.81640625" customWidth="1"/>
    <col min="12" max="12" width="18.1796875" customWidth="1"/>
  </cols>
  <sheetData>
    <row r="1" spans="1:11" ht="35" customHeight="1" x14ac:dyDescent="0.5">
      <c r="A1" s="12" t="s">
        <v>278</v>
      </c>
    </row>
    <row r="2" spans="1:11" x14ac:dyDescent="0.35">
      <c r="A2" s="14" t="s">
        <v>279</v>
      </c>
    </row>
    <row r="4" spans="1:11" ht="16" x14ac:dyDescent="0.4">
      <c r="A4" s="15" t="s">
        <v>291</v>
      </c>
    </row>
    <row r="5" spans="1:11" ht="35" customHeight="1" x14ac:dyDescent="0.35">
      <c r="A5" s="17" t="s">
        <v>280</v>
      </c>
      <c r="B5" s="17" t="s">
        <v>281</v>
      </c>
      <c r="C5" s="17" t="s">
        <v>293</v>
      </c>
      <c r="D5" s="17" t="s">
        <v>292</v>
      </c>
      <c r="E5" s="17" t="s">
        <v>322</v>
      </c>
      <c r="F5" s="17" t="s">
        <v>294</v>
      </c>
      <c r="G5" s="17" t="s">
        <v>8</v>
      </c>
      <c r="H5" s="17" t="s">
        <v>321</v>
      </c>
      <c r="I5" s="17" t="s">
        <v>295</v>
      </c>
      <c r="J5" s="17" t="s">
        <v>282</v>
      </c>
      <c r="K5" s="17" t="s">
        <v>296</v>
      </c>
    </row>
    <row r="6" spans="1:11" x14ac:dyDescent="0.35">
      <c r="A6" t="s">
        <v>11</v>
      </c>
      <c r="B6" t="s">
        <v>251</v>
      </c>
      <c r="C6" s="19">
        <f>Orçamento!T4</f>
        <v>191144686.69330007</v>
      </c>
      <c r="D6" s="19">
        <f>Realizado!E241</f>
        <v>97999337.460000008</v>
      </c>
      <c r="E6" s="19">
        <f>Realizado!F241+Realizado!G241</f>
        <v>34962377.549999997</v>
      </c>
      <c r="F6" s="21">
        <f>IF(D6=0,0,E6/D6)</f>
        <v>0.35676136651709967</v>
      </c>
      <c r="G6" s="19">
        <f>Realizado!I241</f>
        <v>38284055.350000009</v>
      </c>
      <c r="H6" s="19">
        <f>E6+G6</f>
        <v>73246432.900000006</v>
      </c>
      <c r="I6" s="21">
        <f>IF(C6=0,0,H6/C6)</f>
        <v>0.38319889591033773</v>
      </c>
      <c r="J6" s="19">
        <f>C6-H6</f>
        <v>117898253.79330006</v>
      </c>
      <c r="K6" t="str">
        <f>IF(I6&gt;1,"🔴 ESTOURO",IF(I6&lt;0.3,"🟠 BAIXO COMPROM.",IF(F6&lt;0.4,"🟡 BAIXA EXEC","🟢 OK")))</f>
        <v>🟡 BAIXA EXEC</v>
      </c>
    </row>
    <row r="7" spans="1:11" x14ac:dyDescent="0.35">
      <c r="A7" t="s">
        <v>151</v>
      </c>
      <c r="B7" t="s">
        <v>253</v>
      </c>
      <c r="C7" s="19">
        <f>Orçamento!T114</f>
        <v>49757089.677499987</v>
      </c>
      <c r="D7" s="19">
        <f>Realizado!E381</f>
        <v>39906688.947500005</v>
      </c>
      <c r="E7" s="19">
        <f>Realizado!F381+Realizado!G381</f>
        <v>15031739.189999994</v>
      </c>
      <c r="F7" s="21">
        <f>IF(D7=0,0,E7/D7)</f>
        <v>0.37667217166964867</v>
      </c>
      <c r="G7" s="19">
        <f>Realizado!I381</f>
        <v>5815690.169999999</v>
      </c>
      <c r="H7" s="19">
        <f>E7+G7</f>
        <v>20847429.359999992</v>
      </c>
      <c r="I7" s="21">
        <f>IF(C7=0,0,H7/C7)</f>
        <v>0.41898409844953494</v>
      </c>
      <c r="J7" s="19">
        <f>C7-H7</f>
        <v>28909660.317499995</v>
      </c>
      <c r="K7" t="str">
        <f>IF(I7&gt;1,"🔴 ESTOURO",IF(I7&lt;0.3,"🟠 BAIXO COMPROM.",IF(F7&lt;0.4,"🟡 BAIXA EXEC","🟢 OK")))</f>
        <v>🟡 BAIXA EXEC</v>
      </c>
    </row>
    <row r="8" spans="1:11" x14ac:dyDescent="0.35">
      <c r="A8" t="s">
        <v>221</v>
      </c>
      <c r="B8" t="s">
        <v>255</v>
      </c>
      <c r="C8" s="19">
        <f>Orçamento!T173</f>
        <v>10736712.328799998</v>
      </c>
      <c r="D8" s="19">
        <f>Realizado!E452</f>
        <v>6944833.7000999991</v>
      </c>
      <c r="E8" s="19">
        <f>Realizado!F452+Realizado!G452</f>
        <v>3753663.37</v>
      </c>
      <c r="F8" s="21">
        <f>IF(D8=0,0,E8/D8)</f>
        <v>0.54049722888914542</v>
      </c>
      <c r="G8" s="19">
        <f>Realizado!I452</f>
        <v>2552562.6400000006</v>
      </c>
      <c r="H8" s="19">
        <f>E8+G8</f>
        <v>6306226.0100000007</v>
      </c>
      <c r="I8" s="21">
        <f>IF(C8=0,0,H8/C8)</f>
        <v>0.58735167869630567</v>
      </c>
      <c r="J8" s="19">
        <f>C8-H8</f>
        <v>4430486.3187999977</v>
      </c>
      <c r="K8" t="str">
        <f>IF(I8&gt;1,"🔴 ESTOURO",IF(I8&lt;0.3,"🟠 BAIXO COMPROM.",IF(F8&lt;0.4,"🟡 BAIXA EXEC","🟢 OK")))</f>
        <v>🟢 OK</v>
      </c>
    </row>
    <row r="9" spans="1:11" x14ac:dyDescent="0.35">
      <c r="A9" t="s">
        <v>272</v>
      </c>
      <c r="B9" t="s">
        <v>276</v>
      </c>
      <c r="C9" s="19">
        <f>Orçamento!T186</f>
        <v>124135.83</v>
      </c>
      <c r="D9" s="19">
        <f>Orçamento!O186</f>
        <v>124135.83</v>
      </c>
      <c r="E9" s="19">
        <v>0</v>
      </c>
      <c r="F9" s="21">
        <f>IF(D9=0,0,E9/D9)</f>
        <v>0</v>
      </c>
      <c r="G9" s="19">
        <v>0</v>
      </c>
      <c r="H9" s="19">
        <f>E9+G9</f>
        <v>0</v>
      </c>
      <c r="I9" s="21">
        <f>IF(C9=0,0,H9/C9)</f>
        <v>0</v>
      </c>
      <c r="J9" s="19">
        <f>C9-H9</f>
        <v>124135.83</v>
      </c>
      <c r="K9" t="str">
        <f>IF(I9&gt;1,"🔴 ESTOURO",IF(I9&lt;0.3,"🟠 BAIXO COMPROM.",IF(F9&lt;0.4,"🟡 BAIXA EXEC","🟢 OK")))</f>
        <v>🟠 BAIXO COMPROM.</v>
      </c>
    </row>
    <row r="10" spans="1:11" x14ac:dyDescent="0.35">
      <c r="A10" s="18" t="s">
        <v>283</v>
      </c>
      <c r="B10" s="18" t="s">
        <v>284</v>
      </c>
      <c r="C10" s="20">
        <f>SUM(C6:C9)</f>
        <v>251762624.52960005</v>
      </c>
      <c r="D10" s="20">
        <f>SUM(D6:D9)</f>
        <v>144974995.93760005</v>
      </c>
      <c r="E10" s="20">
        <f>SUM(E6:E9)</f>
        <v>53747780.109999992</v>
      </c>
      <c r="F10" s="22">
        <f>IF(D10=0,0,E10/D10)</f>
        <v>0.37073827636549161</v>
      </c>
      <c r="G10" s="20">
        <f>SUM(G6:G9)</f>
        <v>46652308.160000011</v>
      </c>
      <c r="H10" s="20">
        <f>SUM(H6:H9)</f>
        <v>100400088.27</v>
      </c>
      <c r="I10" s="22">
        <f>IF(C10=0,0,H10/C10)</f>
        <v>0.39878869414231033</v>
      </c>
      <c r="J10" s="20">
        <f>SUM(J6:J9)</f>
        <v>151362536.25960007</v>
      </c>
      <c r="K10" s="18" t="str">
        <f>IF(I10&gt;1,"🔴 ESTOURO",IF(I10&lt;0.3,"🟠 BAIXO COMPROM.",IF(F10&lt;0.4,"🟡 BAIXA EXEC","🟢 OK")))</f>
        <v>🟡 BAIXA EXEC</v>
      </c>
    </row>
    <row r="12" spans="1:11" ht="16" x14ac:dyDescent="0.4">
      <c r="A12" s="26" t="s">
        <v>297</v>
      </c>
    </row>
    <row r="13" spans="1:11" x14ac:dyDescent="0.35">
      <c r="A13" t="s">
        <v>298</v>
      </c>
      <c r="B13">
        <v>205</v>
      </c>
    </row>
    <row r="14" spans="1:11" ht="18.5" x14ac:dyDescent="0.45">
      <c r="A14" t="s">
        <v>317</v>
      </c>
      <c r="B14" s="27">
        <v>91</v>
      </c>
    </row>
    <row r="15" spans="1:11" x14ac:dyDescent="0.35">
      <c r="A15" t="s">
        <v>299</v>
      </c>
      <c r="B15" s="24">
        <v>39</v>
      </c>
    </row>
    <row r="16" spans="1:11" x14ac:dyDescent="0.35">
      <c r="A16" t="s">
        <v>300</v>
      </c>
      <c r="B16" s="28">
        <f>SUMIF(I21:I35,"&gt;0",I21:I35)</f>
        <v>0</v>
      </c>
    </row>
    <row r="18" spans="1:9" ht="16" x14ac:dyDescent="0.4">
      <c r="A18" s="29" t="s">
        <v>313</v>
      </c>
    </row>
    <row r="19" spans="1:9" x14ac:dyDescent="0.35">
      <c r="A19" s="16" t="s">
        <v>285</v>
      </c>
      <c r="B19" s="16" t="s">
        <v>286</v>
      </c>
      <c r="C19" s="16" t="s">
        <v>280</v>
      </c>
      <c r="D19" s="16" t="s">
        <v>314</v>
      </c>
      <c r="E19" s="16" t="s">
        <v>8</v>
      </c>
      <c r="F19" s="16" t="s">
        <v>288</v>
      </c>
      <c r="G19" s="16" t="s">
        <v>315</v>
      </c>
      <c r="H19" s="16" t="s">
        <v>287</v>
      </c>
      <c r="I19" s="16" t="s">
        <v>301</v>
      </c>
    </row>
    <row r="20" spans="1:9" x14ac:dyDescent="0.35">
      <c r="A20">
        <v>1</v>
      </c>
      <c r="B20" t="str">
        <f>Realizado!D243</f>
        <v>Plataforma de Controles BH</v>
      </c>
      <c r="C20" t="str">
        <f>Realizado!B243</f>
        <v>Plat. De Captação E Produção</v>
      </c>
      <c r="D20" s="19">
        <f>Realizado!E243</f>
        <v>21610400.070100002</v>
      </c>
      <c r="E20" s="19">
        <f>Realizado!I243</f>
        <v>7869727.3100000005</v>
      </c>
      <c r="F20" s="21">
        <f t="shared" ref="F20:F34" si="0">IF(D20=0,0,E20/D20)</f>
        <v>0.36416388796468879</v>
      </c>
      <c r="G20" s="30">
        <f t="shared" ref="G20:G34" si="1">D20-E20</f>
        <v>13740672.760100001</v>
      </c>
      <c r="H20" s="19">
        <f>Realizado!F243+Realizado!G243</f>
        <v>4517939.76</v>
      </c>
      <c r="I20" t="str">
        <f t="shared" ref="I20:I34" si="2">IF(G20&gt;5000000,"🔥 CRÍTICO",IF(G20&gt;2000000,"⚠️ ALTO",IF(G20&gt;1000000,"📋 MÉDIO","📌 BAIXO")))</f>
        <v>🔥 CRÍTICO</v>
      </c>
    </row>
    <row r="21" spans="1:9" x14ac:dyDescent="0.35">
      <c r="A21">
        <v>2</v>
      </c>
      <c r="B21" t="str">
        <f>Realizado!D383</f>
        <v>Ilhas de Edição (42)</v>
      </c>
      <c r="C21" t="str">
        <f>Realizado!B383</f>
        <v>Plat. De Pós-Prod. E Design</v>
      </c>
      <c r="D21" s="19">
        <f>Realizado!E383</f>
        <v>6353445.5893000001</v>
      </c>
      <c r="E21" s="19">
        <f>Realizado!I383</f>
        <v>119370.75</v>
      </c>
      <c r="F21" s="21">
        <f t="shared" si="0"/>
        <v>1.8788348514550173E-2</v>
      </c>
      <c r="G21" s="30">
        <f t="shared" si="1"/>
        <v>6234074.8393000001</v>
      </c>
      <c r="H21" s="19">
        <f>Realizado!F383+Realizado!G383</f>
        <v>3781210.3200000003</v>
      </c>
      <c r="I21" t="str">
        <f t="shared" si="2"/>
        <v>🔥 CRÍTICO</v>
      </c>
    </row>
    <row r="22" spans="1:9" x14ac:dyDescent="0.35">
      <c r="A22">
        <v>3</v>
      </c>
      <c r="B22" t="str">
        <f>Realizado!D331</f>
        <v>Controles JB Obsolescência – Mixer Controle 3 JB</v>
      </c>
      <c r="C22" t="str">
        <f>Realizado!B331</f>
        <v>Plat. De Captação E Produção</v>
      </c>
      <c r="D22" s="19">
        <f>Realizado!E331</f>
        <v>4730732.2799999993</v>
      </c>
      <c r="E22" s="19">
        <f>Realizado!I331</f>
        <v>317572.35000000003</v>
      </c>
      <c r="F22" s="21">
        <f t="shared" si="0"/>
        <v>6.7129638965745933E-2</v>
      </c>
      <c r="G22" s="30">
        <f t="shared" si="1"/>
        <v>4413159.93</v>
      </c>
      <c r="H22" s="19">
        <f>Realizado!F331+Realizado!G331</f>
        <v>3705127.830000001</v>
      </c>
      <c r="I22" t="str">
        <f t="shared" si="2"/>
        <v>⚠️ ALTO</v>
      </c>
    </row>
    <row r="23" spans="1:9" x14ac:dyDescent="0.35">
      <c r="A23">
        <v>4</v>
      </c>
      <c r="B23" t="str">
        <f>Realizado!D362</f>
        <v>Nova Sede Brasília</v>
      </c>
      <c r="C23" t="str">
        <f>Realizado!B362</f>
        <v>Plat. De Captação E Produção</v>
      </c>
      <c r="D23" s="19">
        <f>Realizado!E362</f>
        <v>4979323.2999999989</v>
      </c>
      <c r="E23" s="19">
        <f>Realizado!I362</f>
        <v>1470088.95</v>
      </c>
      <c r="F23" s="21">
        <f t="shared" si="0"/>
        <v>0.29523870241564759</v>
      </c>
      <c r="G23" s="30">
        <f t="shared" si="1"/>
        <v>3509234.3499999987</v>
      </c>
      <c r="H23" s="19">
        <f>Realizado!F362+Realizado!G362</f>
        <v>270549.30000000005</v>
      </c>
      <c r="I23" t="str">
        <f t="shared" si="2"/>
        <v>⚠️ ALTO</v>
      </c>
    </row>
    <row r="24" spans="1:9" x14ac:dyDescent="0.35">
      <c r="A24">
        <v>5</v>
      </c>
      <c r="B24" t="str">
        <f>Realizado!D292</f>
        <v>Roadmap Estudio Rede 4k - Cameras SP</v>
      </c>
      <c r="C24" t="str">
        <f>Realizado!B292</f>
        <v>Plat. De Captação E Produção</v>
      </c>
      <c r="D24" s="19">
        <f>Realizado!E292</f>
        <v>3182000.1</v>
      </c>
      <c r="E24" s="19">
        <f>Realizado!I292</f>
        <v>183569.53</v>
      </c>
      <c r="F24" s="21">
        <f t="shared" si="0"/>
        <v>5.7689982473602054E-2</v>
      </c>
      <c r="G24" s="30">
        <f t="shared" si="1"/>
        <v>2998430.5700000003</v>
      </c>
      <c r="H24" s="19">
        <f>Realizado!F292+Realizado!G292</f>
        <v>189722.47</v>
      </c>
      <c r="I24" t="str">
        <f t="shared" si="2"/>
        <v>⚠️ ALTO</v>
      </c>
    </row>
    <row r="25" spans="1:9" x14ac:dyDescent="0.35">
      <c r="A25">
        <v>6</v>
      </c>
      <c r="B25" t="str">
        <f>Realizado!D329</f>
        <v>Roadmap Controles - Obsolescência Audio Mixer</v>
      </c>
      <c r="C25" t="str">
        <f>Realizado!B329</f>
        <v>Plat. De Captação E Produção</v>
      </c>
      <c r="D25" s="19">
        <f>Realizado!E329</f>
        <v>3657282</v>
      </c>
      <c r="E25" s="19">
        <f>Realizado!I329</f>
        <v>803166.04999999981</v>
      </c>
      <c r="F25" s="21">
        <f t="shared" si="0"/>
        <v>0.21960736142304579</v>
      </c>
      <c r="G25" s="30">
        <f t="shared" si="1"/>
        <v>2854115.95</v>
      </c>
      <c r="H25" s="19">
        <f>Realizado!F329+Realizado!G329</f>
        <v>130880.12</v>
      </c>
      <c r="I25" t="str">
        <f t="shared" si="2"/>
        <v>⚠️ ALTO</v>
      </c>
    </row>
    <row r="26" spans="1:9" x14ac:dyDescent="0.35">
      <c r="A26">
        <v>7</v>
      </c>
      <c r="B26" t="str">
        <f>Realizado!D438</f>
        <v>Roadmap Playout Controles - SP/JB/BSA</v>
      </c>
      <c r="C26" t="str">
        <f>Realizado!B438</f>
        <v>Plat. De Pós-Prod. E Design</v>
      </c>
      <c r="D26" s="19">
        <f>Realizado!E438</f>
        <v>2485258.9200000004</v>
      </c>
      <c r="E26" s="19">
        <f>Realizado!I438</f>
        <v>111520.18000000001</v>
      </c>
      <c r="F26" s="21">
        <f t="shared" si="0"/>
        <v>4.487266059183885E-2</v>
      </c>
      <c r="G26" s="30">
        <f t="shared" si="1"/>
        <v>2373738.7400000002</v>
      </c>
      <c r="H26" s="19">
        <f>Realizado!F438+Realizado!G438</f>
        <v>225503.58000000005</v>
      </c>
      <c r="I26" t="str">
        <f t="shared" si="2"/>
        <v>⚠️ ALTO</v>
      </c>
    </row>
    <row r="27" spans="1:9" x14ac:dyDescent="0.35">
      <c r="A27">
        <v>8</v>
      </c>
      <c r="B27" t="str">
        <f>Realizado!D402</f>
        <v>Estações Design (33) - EG</v>
      </c>
      <c r="C27" t="str">
        <f>Realizado!B402</f>
        <v>Plat. De Pós-Prod. E Design</v>
      </c>
      <c r="D27" s="19">
        <f>Realizado!E402</f>
        <v>2704697.15</v>
      </c>
      <c r="E27" s="19">
        <f>Realizado!I402</f>
        <v>333256.19</v>
      </c>
      <c r="F27" s="21">
        <f t="shared" si="0"/>
        <v>0.12321386518265086</v>
      </c>
      <c r="G27" s="30">
        <f t="shared" si="1"/>
        <v>2371440.96</v>
      </c>
      <c r="H27" s="19">
        <f>Realizado!F402+Realizado!G402</f>
        <v>385798.81</v>
      </c>
      <c r="I27" t="str">
        <f t="shared" si="2"/>
        <v>⚠️ ALTO</v>
      </c>
    </row>
    <row r="28" spans="1:9" x14ac:dyDescent="0.35">
      <c r="A28">
        <v>9</v>
      </c>
      <c r="B28" t="str">
        <f>Realizado!D301</f>
        <v>Câmeras de Externa - Obs. crítica G5</v>
      </c>
      <c r="C28" t="str">
        <f>Realizado!B301</f>
        <v>Plat. De Captação E Produção</v>
      </c>
      <c r="D28" s="19">
        <f>Realizado!E301</f>
        <v>2602276.7801000001</v>
      </c>
      <c r="E28" s="19">
        <f>Realizado!I301</f>
        <v>314761.71999999997</v>
      </c>
      <c r="F28" s="21">
        <f t="shared" si="0"/>
        <v>0.12095628044143111</v>
      </c>
      <c r="G28" s="30">
        <f t="shared" si="1"/>
        <v>2287515.0601000004</v>
      </c>
      <c r="H28" s="19">
        <f>Realizado!F301+Realizado!G301</f>
        <v>2229287.86</v>
      </c>
      <c r="I28" t="str">
        <f t="shared" si="2"/>
        <v>⚠️ ALTO</v>
      </c>
    </row>
    <row r="29" spans="1:9" x14ac:dyDescent="0.35">
      <c r="A29">
        <v>10</v>
      </c>
      <c r="B29" t="str">
        <f>Realizado!D417</f>
        <v>Workflow 4K de edição</v>
      </c>
      <c r="C29" t="str">
        <f>Realizado!B417</f>
        <v>Plat. De Pós-Prod. E Design</v>
      </c>
      <c r="D29" s="19">
        <f>Realizado!E417</f>
        <v>2472312.6998999999</v>
      </c>
      <c r="E29" s="19">
        <f>Realizado!I417</f>
        <v>231676.11</v>
      </c>
      <c r="F29" s="21">
        <f t="shared" si="0"/>
        <v>9.3708255436042054E-2</v>
      </c>
      <c r="G29" s="30">
        <f t="shared" si="1"/>
        <v>2240636.5899</v>
      </c>
      <c r="H29" s="19">
        <f>Realizado!F417+Realizado!G417</f>
        <v>625032.49</v>
      </c>
      <c r="I29" t="str">
        <f t="shared" si="2"/>
        <v>⚠️ ALTO</v>
      </c>
    </row>
    <row r="30" spans="1:9" x14ac:dyDescent="0.35">
      <c r="A30">
        <v>11</v>
      </c>
      <c r="B30" t="str">
        <f>Realizado!D403</f>
        <v>Renders VFX (35)</v>
      </c>
      <c r="C30" t="str">
        <f>Realizado!B403</f>
        <v>Plat. De Pós-Prod. E Design</v>
      </c>
      <c r="D30" s="19">
        <f>Realizado!E403</f>
        <v>1892440.13</v>
      </c>
      <c r="E30" s="19">
        <f>Realizado!I403</f>
        <v>20783.52</v>
      </c>
      <c r="F30" s="21">
        <f t="shared" si="0"/>
        <v>1.0982392346541501E-2</v>
      </c>
      <c r="G30" s="30">
        <f t="shared" si="1"/>
        <v>1871656.6099999999</v>
      </c>
      <c r="H30" s="19">
        <f>Realizado!F403+Realizado!G403</f>
        <v>316581.24</v>
      </c>
      <c r="I30" t="str">
        <f t="shared" si="2"/>
        <v>📋 MÉDIO</v>
      </c>
    </row>
    <row r="31" spans="1:9" x14ac:dyDescent="0.35">
      <c r="A31">
        <v>12</v>
      </c>
      <c r="B31" t="str">
        <f>Realizado!D353</f>
        <v>Core IP JB - Fase 2 de 3</v>
      </c>
      <c r="C31" t="str">
        <f>Realizado!B353</f>
        <v>Plat. De Captação E Produção</v>
      </c>
      <c r="D31" s="19">
        <f>Realizado!E353</f>
        <v>5634500</v>
      </c>
      <c r="E31" s="19">
        <f>Realizado!I353</f>
        <v>3880437.5100000002</v>
      </c>
      <c r="F31" s="21">
        <f t="shared" si="0"/>
        <v>0.68869243233649835</v>
      </c>
      <c r="G31" s="30">
        <f t="shared" si="1"/>
        <v>1754062.4899999998</v>
      </c>
      <c r="H31" s="19">
        <f>Realizado!F353+Realizado!G353</f>
        <v>1675091.9000000001</v>
      </c>
      <c r="I31" t="str">
        <f t="shared" si="2"/>
        <v>📋 MÉDIO</v>
      </c>
    </row>
    <row r="32" spans="1:9" x14ac:dyDescent="0.35">
      <c r="A32">
        <v>13</v>
      </c>
      <c r="B32" t="str">
        <f>Realizado!D268</f>
        <v>Inovação em C&amp;P</v>
      </c>
      <c r="C32" t="str">
        <f>Realizado!B268</f>
        <v>Plat. De Captação E Produção</v>
      </c>
      <c r="D32" s="19">
        <f>Realizado!E268</f>
        <v>1701843.8399999999</v>
      </c>
      <c r="E32" s="19">
        <f>Realizado!I268</f>
        <v>21684.140000000003</v>
      </c>
      <c r="F32" s="21">
        <f t="shared" si="0"/>
        <v>1.2741556828151757E-2</v>
      </c>
      <c r="G32" s="30">
        <f t="shared" si="1"/>
        <v>1680159.7</v>
      </c>
      <c r="H32" s="19">
        <f>Realizado!F268+Realizado!G268</f>
        <v>178653.47999999998</v>
      </c>
      <c r="I32" t="str">
        <f t="shared" si="2"/>
        <v>📋 MÉDIO</v>
      </c>
    </row>
    <row r="33" spans="1:9" x14ac:dyDescent="0.35">
      <c r="A33">
        <v>14</v>
      </c>
      <c r="B33" t="str">
        <f>Realizado!D418</f>
        <v>Obs. Ingest Live Ion - Fase 2</v>
      </c>
      <c r="C33" t="str">
        <f>Realizado!B418</f>
        <v>Plat. De Pós-Prod. E Design</v>
      </c>
      <c r="D33" s="19">
        <f>Realizado!E418</f>
        <v>1663397.63</v>
      </c>
      <c r="E33" s="19">
        <f>Realizado!I418</f>
        <v>18531.080000000002</v>
      </c>
      <c r="F33" s="21">
        <f t="shared" si="0"/>
        <v>1.1140499220261606E-2</v>
      </c>
      <c r="G33" s="30">
        <f t="shared" si="1"/>
        <v>1644866.5499999998</v>
      </c>
      <c r="H33" s="19">
        <f>Realizado!F418+Realizado!G418</f>
        <v>1338282.3500000001</v>
      </c>
      <c r="I33" t="str">
        <f t="shared" si="2"/>
        <v>📋 MÉDIO</v>
      </c>
    </row>
    <row r="34" spans="1:9" x14ac:dyDescent="0.35">
      <c r="A34">
        <v>15</v>
      </c>
      <c r="B34" t="str">
        <f>Realizado!D330</f>
        <v>Obsolescência - Microfone Sem fio e Paineis de Comunicação</v>
      </c>
      <c r="C34" t="str">
        <f>Realizado!B330</f>
        <v>Plat. De Captação E Produção</v>
      </c>
      <c r="D34" s="19">
        <f>Realizado!E330</f>
        <v>2346697.12</v>
      </c>
      <c r="E34" s="19">
        <f>Realizado!I330</f>
        <v>748465.34</v>
      </c>
      <c r="F34" s="21">
        <f t="shared" si="0"/>
        <v>0.31894415927011488</v>
      </c>
      <c r="G34" s="30">
        <f t="shared" si="1"/>
        <v>1598231.7800000003</v>
      </c>
      <c r="H34" s="19">
        <f>Realizado!F330+Realizado!G330</f>
        <v>190601.94999999998</v>
      </c>
      <c r="I34" t="str">
        <f t="shared" si="2"/>
        <v>📋 MÉDIO</v>
      </c>
    </row>
    <row r="35" spans="1:9" x14ac:dyDescent="0.35">
      <c r="A35" s="33" t="s">
        <v>316</v>
      </c>
    </row>
    <row r="36" spans="1:9" ht="16" x14ac:dyDescent="0.4">
      <c r="A36" s="23" t="s">
        <v>302</v>
      </c>
    </row>
    <row r="37" spans="1:9" x14ac:dyDescent="0.35">
      <c r="A37" s="13" t="s">
        <v>303</v>
      </c>
    </row>
    <row r="38" spans="1:9" x14ac:dyDescent="0.35">
      <c r="A38" s="31" t="s">
        <v>285</v>
      </c>
      <c r="B38" s="31" t="s">
        <v>286</v>
      </c>
      <c r="C38" s="31" t="s">
        <v>280</v>
      </c>
      <c r="D38" s="31" t="s">
        <v>293</v>
      </c>
      <c r="E38" s="31" t="s">
        <v>287</v>
      </c>
      <c r="F38" s="31" t="s">
        <v>8</v>
      </c>
      <c r="G38" s="31" t="s">
        <v>304</v>
      </c>
      <c r="H38" s="31" t="s">
        <v>289</v>
      </c>
      <c r="I38" s="31" t="s">
        <v>305</v>
      </c>
    </row>
    <row r="39" spans="1:9" x14ac:dyDescent="0.35">
      <c r="A39">
        <v>1</v>
      </c>
      <c r="B39" t="str">
        <f>Realizado!D359</f>
        <v>Core IP JB - Fase 1 (50% Parque JB)</v>
      </c>
      <c r="C39" t="str">
        <f>Realizado!B359</f>
        <v>Plat. De Captação E Produção</v>
      </c>
      <c r="D39" s="19">
        <f>IFERROR(VLOOKUP(B39,Orçamento!B:T,19,FALSE),Realizado!E359)</f>
        <v>2644343.5299</v>
      </c>
      <c r="E39" s="19">
        <f>Realizado!F359+Realizado!G359</f>
        <v>2756364.7600000012</v>
      </c>
      <c r="F39" s="19">
        <f>Realizado!I359</f>
        <v>482868.61000000004</v>
      </c>
      <c r="G39" s="21">
        <f t="shared" ref="G39:G48" si="3">IF(D39=0,0,(E39+F39)/D39)</f>
        <v>1.2249669278493849</v>
      </c>
      <c r="H39" s="32">
        <f t="shared" ref="H39:H48" si="4">(E39+F39)-D39</f>
        <v>594889.84010000108</v>
      </c>
      <c r="I39" t="s">
        <v>306</v>
      </c>
    </row>
    <row r="40" spans="1:9" x14ac:dyDescent="0.35">
      <c r="A40">
        <v>2</v>
      </c>
      <c r="B40" t="str">
        <f>Realizado!D264</f>
        <v>Plataforma de Controles SP - Obs. Controle 1 SP_1</v>
      </c>
      <c r="C40" t="str">
        <f>Realizado!B264</f>
        <v>Plat. De Captação E Produção</v>
      </c>
      <c r="D40" s="19">
        <f>IFERROR(VLOOKUP(B40,Orçamento!B:T,19,FALSE),Realizado!E264)</f>
        <v>1615601.14</v>
      </c>
      <c r="E40" s="19">
        <f>Realizado!F264+Realizado!G264</f>
        <v>1849744.3000000003</v>
      </c>
      <c r="F40" s="19">
        <f>Realizado!I264</f>
        <v>163091.54999999999</v>
      </c>
      <c r="G40" s="21">
        <f t="shared" si="3"/>
        <v>1.2458742446789808</v>
      </c>
      <c r="H40" s="32">
        <f t="shared" si="4"/>
        <v>397234.71000000043</v>
      </c>
      <c r="I40" t="s">
        <v>306</v>
      </c>
    </row>
    <row r="41" spans="1:9" x14ac:dyDescent="0.35">
      <c r="A41">
        <v>3</v>
      </c>
      <c r="B41" t="str">
        <f>Realizado!D249</f>
        <v>Monitoração e Contribuição G5 - Skype JB</v>
      </c>
      <c r="C41" t="str">
        <f>Realizado!B249</f>
        <v>Plat. De Captação E Produção</v>
      </c>
      <c r="D41" s="19">
        <f>IFERROR(VLOOKUP(B41,Orçamento!B:T,19,FALSE),Realizado!E249)</f>
        <v>259800</v>
      </c>
      <c r="E41" s="19">
        <f>Realizado!F249+Realizado!G249</f>
        <v>12299.99</v>
      </c>
      <c r="F41" s="19">
        <f>Realizado!I249</f>
        <v>486972.08</v>
      </c>
      <c r="G41" s="21">
        <f t="shared" si="3"/>
        <v>1.9217554657428793</v>
      </c>
      <c r="H41" s="32">
        <f t="shared" si="4"/>
        <v>239472.07</v>
      </c>
      <c r="I41" t="s">
        <v>306</v>
      </c>
    </row>
    <row r="42" spans="1:9" x14ac:dyDescent="0.35">
      <c r="A42">
        <v>4</v>
      </c>
      <c r="B42" t="str">
        <f>Realizado!D442</f>
        <v>PAM do Futuro - PoC</v>
      </c>
      <c r="C42" t="str">
        <f>Realizado!B442</f>
        <v>Plat. De Pós-Prod. E Design</v>
      </c>
      <c r="D42" s="19">
        <f>IFERROR(VLOOKUP(B42,Orçamento!B:T,19,FALSE),Realizado!E442)</f>
        <v>671563.31</v>
      </c>
      <c r="E42" s="19">
        <f>Realizado!F442+Realizado!G442</f>
        <v>776095.35999999987</v>
      </c>
      <c r="F42" s="19">
        <f>Realizado!I442</f>
        <v>92734.33</v>
      </c>
      <c r="G42" s="21">
        <f t="shared" si="3"/>
        <v>1.2937420449607346</v>
      </c>
      <c r="H42" s="32">
        <f t="shared" si="4"/>
        <v>197266.37999999977</v>
      </c>
      <c r="I42" t="s">
        <v>306</v>
      </c>
    </row>
    <row r="43" spans="1:9" x14ac:dyDescent="0.35">
      <c r="A43">
        <v>5</v>
      </c>
      <c r="B43" t="str">
        <f>Realizado!D360</f>
        <v>Operação Remota BSA x JB</v>
      </c>
      <c r="C43" t="str">
        <f>Realizado!B360</f>
        <v>Plat. De Captação E Produção</v>
      </c>
      <c r="D43" s="19">
        <f>IFERROR(VLOOKUP(B43,Orçamento!B:T,19,FALSE),Realizado!E360)</f>
        <v>11197.52</v>
      </c>
      <c r="E43" s="19">
        <f>Realizado!F360+Realizado!G360</f>
        <v>138946.57</v>
      </c>
      <c r="F43" s="19">
        <f>Realizado!I360</f>
        <v>10539.509999999998</v>
      </c>
      <c r="G43" s="21">
        <f t="shared" si="3"/>
        <v>13.349927483942874</v>
      </c>
      <c r="H43" s="32">
        <f t="shared" si="4"/>
        <v>138288.56000000003</v>
      </c>
      <c r="I43" t="s">
        <v>306</v>
      </c>
    </row>
    <row r="44" spans="1:9" x14ac:dyDescent="0.35">
      <c r="A44">
        <v>6</v>
      </c>
      <c r="B44" t="str">
        <f>Realizado!D290</f>
        <v>Novo Cenário BDBR</v>
      </c>
      <c r="C44" t="str">
        <f>Realizado!B290</f>
        <v>Plat. De Captação E Produção</v>
      </c>
      <c r="D44" s="19">
        <f>IFERROR(VLOOKUP(B44,Orçamento!B:T,19,FALSE),Realizado!E290)</f>
        <v>622600.88</v>
      </c>
      <c r="E44" s="19">
        <f>Realizado!F290+Realizado!G290</f>
        <v>705446.82000000007</v>
      </c>
      <c r="F44" s="19">
        <f>Realizado!I290</f>
        <v>26499.49</v>
      </c>
      <c r="G44" s="21">
        <f t="shared" si="3"/>
        <v>1.1756268478130003</v>
      </c>
      <c r="H44" s="32">
        <f t="shared" si="4"/>
        <v>109345.43000000005</v>
      </c>
      <c r="I44" t="s">
        <v>306</v>
      </c>
    </row>
    <row r="45" spans="1:9" x14ac:dyDescent="0.35">
      <c r="A45">
        <v>7</v>
      </c>
      <c r="B45" t="str">
        <f>Realizado!D340</f>
        <v>Obsolescência Crítica Sist. Áudio - JB, SP e MG-2</v>
      </c>
      <c r="C45" t="str">
        <f>Realizado!B340</f>
        <v>Plat. De Captação E Produção</v>
      </c>
      <c r="D45" s="19">
        <f>IFERROR(VLOOKUP(B45,Orçamento!B:T,19,FALSE),Realizado!E340)</f>
        <v>120977.18</v>
      </c>
      <c r="E45" s="19">
        <f>Realizado!F340+Realizado!G340</f>
        <v>60665.16</v>
      </c>
      <c r="F45" s="19">
        <f>Realizado!I340</f>
        <v>164600.78999999998</v>
      </c>
      <c r="G45" s="21">
        <f t="shared" si="3"/>
        <v>1.862053240123468</v>
      </c>
      <c r="H45" s="32">
        <f t="shared" si="4"/>
        <v>104288.76999999999</v>
      </c>
      <c r="I45" t="s">
        <v>306</v>
      </c>
    </row>
    <row r="46" spans="1:9" x14ac:dyDescent="0.35">
      <c r="A46">
        <v>8</v>
      </c>
      <c r="B46" t="str">
        <f>Realizado!D356</f>
        <v>Roadmap Controles - Obsolescência Multiviewer</v>
      </c>
      <c r="C46" t="str">
        <f>Realizado!B356</f>
        <v>Plat. De Captação E Produção</v>
      </c>
      <c r="D46" s="19">
        <f>IFERROR(VLOOKUP(B46,Orçamento!B:T,19,FALSE),Realizado!E356)</f>
        <v>495174.41000000003</v>
      </c>
      <c r="E46" s="19">
        <f>Realizado!F356+Realizado!G356</f>
        <v>486392.47000000009</v>
      </c>
      <c r="F46" s="19">
        <f>Realizado!I356</f>
        <v>105487.58</v>
      </c>
      <c r="G46" s="21">
        <f t="shared" si="3"/>
        <v>1.1952961179880035</v>
      </c>
      <c r="H46" s="32">
        <f t="shared" si="4"/>
        <v>96705.640000000014</v>
      </c>
      <c r="I46" t="s">
        <v>306</v>
      </c>
    </row>
    <row r="47" spans="1:9" x14ac:dyDescent="0.35">
      <c r="A47">
        <v>9</v>
      </c>
      <c r="B47" t="str">
        <f>Realizado!D289</f>
        <v>Roadmap de Iluminação - Carros de Iluminação EG</v>
      </c>
      <c r="C47" t="str">
        <f>Realizado!B289</f>
        <v>Plat. De Captação E Produção</v>
      </c>
      <c r="D47" s="19">
        <f>IFERROR(VLOOKUP(B47,Orçamento!B:T,19,FALSE),Realizado!E289)</f>
        <v>678825.59990000003</v>
      </c>
      <c r="E47" s="19">
        <f>Realizado!F289+Realizado!G289</f>
        <v>709616.41000000015</v>
      </c>
      <c r="F47" s="19">
        <f>Realizado!I289</f>
        <v>61016.920000000006</v>
      </c>
      <c r="G47" s="21">
        <f t="shared" si="3"/>
        <v>1.1352449437875127</v>
      </c>
      <c r="H47" s="32">
        <f t="shared" si="4"/>
        <v>91807.730100000161</v>
      </c>
      <c r="I47" t="s">
        <v>306</v>
      </c>
    </row>
    <row r="48" spans="1:9" x14ac:dyDescent="0.35">
      <c r="A48">
        <v>10</v>
      </c>
      <c r="B48" t="str">
        <f>Realizado!D247</f>
        <v>Monitoração e Contribuição G5 - Skype ION</v>
      </c>
      <c r="C48" t="str">
        <f>Realizado!B247</f>
        <v>Plat. De Captação E Produção</v>
      </c>
      <c r="D48" s="19">
        <f>IFERROR(VLOOKUP(B48,Orçamento!B:T,19,FALSE),Realizado!E247)</f>
        <v>259800</v>
      </c>
      <c r="E48" s="19">
        <f>Realizado!F247+Realizado!G247</f>
        <v>0</v>
      </c>
      <c r="F48" s="19">
        <f>Realizado!I247</f>
        <v>326477.5</v>
      </c>
      <c r="G48" s="21">
        <f t="shared" si="3"/>
        <v>1.2566493456505003</v>
      </c>
      <c r="H48" s="32">
        <f t="shared" si="4"/>
        <v>66677.5</v>
      </c>
      <c r="I48" t="s">
        <v>306</v>
      </c>
    </row>
    <row r="50" spans="1:1" x14ac:dyDescent="0.35">
      <c r="A50" s="25" t="s">
        <v>290</v>
      </c>
    </row>
    <row r="51" spans="1:1" x14ac:dyDescent="0.35">
      <c r="A51" t="s">
        <v>307</v>
      </c>
    </row>
    <row r="52" spans="1:1" x14ac:dyDescent="0.35">
      <c r="A52" t="s">
        <v>318</v>
      </c>
    </row>
    <row r="53" spans="1:1" x14ac:dyDescent="0.35">
      <c r="A53" t="s">
        <v>308</v>
      </c>
    </row>
    <row r="54" spans="1:1" x14ac:dyDescent="0.35">
      <c r="A54" t="s">
        <v>309</v>
      </c>
    </row>
    <row r="56" spans="1:1" x14ac:dyDescent="0.35">
      <c r="A56" s="1" t="s">
        <v>310</v>
      </c>
    </row>
    <row r="57" spans="1:1" x14ac:dyDescent="0.35">
      <c r="A57" t="s">
        <v>311</v>
      </c>
    </row>
    <row r="58" spans="1:1" x14ac:dyDescent="0.35">
      <c r="A58" s="34" t="s">
        <v>319</v>
      </c>
    </row>
    <row r="59" spans="1:1" x14ac:dyDescent="0.35">
      <c r="A59" s="34" t="s">
        <v>320</v>
      </c>
    </row>
    <row r="61" spans="1:1" x14ac:dyDescent="0.35">
      <c r="A61" s="13" t="s">
        <v>312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db1d22-b207-4418-af60-71b72cc14623" xsi:nil="true"/>
    <lcf76f155ced4ddcb4097134ff3c332f xmlns="52b55e37-e5fe-41c5-b3a0-954e1510c03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2D3403E35D15408CAA84FFEE0030A7" ma:contentTypeVersion="14" ma:contentTypeDescription="Crie um novo documento." ma:contentTypeScope="" ma:versionID="627c819d760c8ad61f64930b859e6ee7">
  <xsd:schema xmlns:xsd="http://www.w3.org/2001/XMLSchema" xmlns:xs="http://www.w3.org/2001/XMLSchema" xmlns:p="http://schemas.microsoft.com/office/2006/metadata/properties" xmlns:ns2="52b55e37-e5fe-41c5-b3a0-954e1510c036" xmlns:ns3="a1db1d22-b207-4418-af60-71b72cc14623" targetNamespace="http://schemas.microsoft.com/office/2006/metadata/properties" ma:root="true" ma:fieldsID="bfda53fe0ff987fd24c013b7e3325325" ns2:_="" ns3:_="">
    <xsd:import namespace="52b55e37-e5fe-41c5-b3a0-954e1510c036"/>
    <xsd:import namespace="a1db1d22-b207-4418-af60-71b72cc14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55e37-e5fe-41c5-b3a0-954e1510c0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e95d02-0283-4058-b157-1f44ea38b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b1d22-b207-4418-af60-71b72cc1462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aaf42c5-f692-4c2e-a07e-c493849baa80}" ma:internalName="TaxCatchAll" ma:showField="CatchAllData" ma:web="a1db1d22-b207-4418-af60-71b72cc146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74A9F7-3DF4-43C2-988A-0ED81F62A4B2}">
  <ds:schemaRefs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52b55e37-e5fe-41c5-b3a0-954e1510c036"/>
    <ds:schemaRef ds:uri="http://schemas.microsoft.com/office/2006/documentManagement/types"/>
    <ds:schemaRef ds:uri="http://purl.org/dc/terms/"/>
    <ds:schemaRef ds:uri="a1db1d22-b207-4418-af60-71b72cc1462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F02D306-1537-4909-880E-DDA736AD9E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D1D2F6-0A57-4927-8263-C3DA121967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b55e37-e5fe-41c5-b3a0-954e1510c036"/>
    <ds:schemaRef ds:uri="a1db1d22-b207-4418-af60-71b72cc14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</vt:lpstr>
      <vt:lpstr>Realizado</vt:lpstr>
      <vt:lpstr>Hierarquia</vt:lpstr>
      <vt:lpstr>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Fraga</cp:lastModifiedBy>
  <dcterms:created xsi:type="dcterms:W3CDTF">2026-07-27T12:15:59Z</dcterms:created>
  <dcterms:modified xsi:type="dcterms:W3CDTF">2026-07-27T12:18:27Z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2026-07-27T12:15:57Z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e3e48453-634a-49b5-b885-b7d0b6b76989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  <property fmtid="{D5CDD505-2E9C-101B-9397-08002B2CF9AE}" pid="10" name="ContentTypeId">
    <vt:lpwstr>0x010100C22D3403E35D15408CAA84FFEE0030A7</vt:lpwstr>
  </property>
  <property fmtid="{D5CDD505-2E9C-101B-9397-08002B2CF9AE}" pid="11" name="MediaServiceImageTags">
    <vt:lpwstr/>
  </property>
</Properties>
</file>